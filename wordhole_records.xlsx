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cenpas_leeds_ac_uk/Documents/Documents/Wordle/"/>
    </mc:Choice>
  </mc:AlternateContent>
  <xr:revisionPtr revIDLastSave="478" documentId="13_ncr:1_{2AE77F69-371F-406C-A7D0-4F8A878CEED9}" xr6:coauthVersionLast="47" xr6:coauthVersionMax="47" xr10:uidLastSave="{26CCEC0C-7450-41D2-B661-C6EE2DBFE61C}"/>
  <bookViews>
    <workbookView xWindow="195" yWindow="675" windowWidth="24930" windowHeight="14550" xr2:uid="{0E73B5D4-4342-4984-9DBD-C032C52B68A7}"/>
  </bookViews>
  <sheets>
    <sheet name="Round 19" sheetId="26" r:id="rId1"/>
    <sheet name="Round 18" sheetId="25" r:id="rId2"/>
    <sheet name="Round 17" sheetId="24" r:id="rId3"/>
    <sheet name="Round 16" sheetId="23" r:id="rId4"/>
    <sheet name="Round 15" sheetId="22" r:id="rId5"/>
    <sheet name="Round 14" sheetId="21" r:id="rId6"/>
    <sheet name="Round 13" sheetId="20" r:id="rId7"/>
    <sheet name="Round 12" sheetId="19" r:id="rId8"/>
    <sheet name="Round 11" sheetId="17" r:id="rId9"/>
    <sheet name="Round 10" sheetId="15" r:id="rId10"/>
    <sheet name="Round 9" sheetId="14" r:id="rId11"/>
    <sheet name="Round 8" sheetId="11" r:id="rId12"/>
    <sheet name="Round 7" sheetId="10" r:id="rId13"/>
    <sheet name="Round 6" sheetId="8" r:id="rId14"/>
    <sheet name="Round 5" sheetId="6" r:id="rId15"/>
    <sheet name="Round 4" sheetId="5" r:id="rId16"/>
    <sheet name="Round 3" sheetId="2" r:id="rId17"/>
    <sheet name="Round 2" sheetId="1" r:id="rId18"/>
    <sheet name="Round 1" sheetId="3" r:id="rId19"/>
    <sheet name="Blank" sheetId="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3" i="26" l="1"/>
  <c r="AY13" i="26"/>
  <c r="AV13" i="26"/>
  <c r="AS13" i="26"/>
  <c r="AP13" i="26"/>
  <c r="AM13" i="26"/>
  <c r="AJ13" i="26"/>
  <c r="AG13" i="26"/>
  <c r="AD13" i="26"/>
  <c r="AA13" i="26"/>
  <c r="X13" i="26"/>
  <c r="U13" i="26"/>
  <c r="R13" i="26"/>
  <c r="O13" i="26"/>
  <c r="L13" i="26"/>
  <c r="I13" i="26"/>
  <c r="F13" i="26"/>
  <c r="C13" i="26"/>
  <c r="BD9" i="26"/>
  <c r="BC9" i="26"/>
  <c r="BA9" i="26"/>
  <c r="AZ9" i="26"/>
  <c r="AX9" i="26"/>
  <c r="AW9" i="26"/>
  <c r="AU9" i="26"/>
  <c r="AT9" i="26"/>
  <c r="AR9" i="26"/>
  <c r="AQ9" i="26"/>
  <c r="AO9" i="26"/>
  <c r="AN9" i="26"/>
  <c r="AL9" i="26"/>
  <c r="AK9" i="26"/>
  <c r="AI9" i="26"/>
  <c r="AH9" i="26"/>
  <c r="AF9" i="26"/>
  <c r="AE9" i="26"/>
  <c r="AC9" i="26"/>
  <c r="AB9" i="26"/>
  <c r="Z9" i="26"/>
  <c r="Y9" i="26"/>
  <c r="W9" i="26"/>
  <c r="V9" i="26"/>
  <c r="T9" i="26"/>
  <c r="S9" i="26"/>
  <c r="Q9" i="26"/>
  <c r="P9" i="26"/>
  <c r="N9" i="26"/>
  <c r="M9" i="26"/>
  <c r="K9" i="26"/>
  <c r="J9" i="26"/>
  <c r="H9" i="26"/>
  <c r="G9" i="26"/>
  <c r="D9" i="26"/>
  <c r="E9" i="26" s="1"/>
  <c r="BD8" i="26"/>
  <c r="BC8" i="26"/>
  <c r="BA8" i="26"/>
  <c r="AZ8" i="26"/>
  <c r="AX8" i="26"/>
  <c r="AW8" i="26"/>
  <c r="AU8" i="26"/>
  <c r="AT8" i="26"/>
  <c r="AR8" i="26"/>
  <c r="AQ8" i="26"/>
  <c r="AO8" i="26"/>
  <c r="AN8" i="26"/>
  <c r="AL8" i="26"/>
  <c r="AK8" i="26"/>
  <c r="AI8" i="26"/>
  <c r="AH8" i="26"/>
  <c r="AF8" i="26"/>
  <c r="AE8" i="26"/>
  <c r="AC8" i="26"/>
  <c r="AB8" i="26"/>
  <c r="Z8" i="26"/>
  <c r="Y8" i="26"/>
  <c r="W8" i="26"/>
  <c r="V8" i="26"/>
  <c r="T8" i="26"/>
  <c r="S8" i="26"/>
  <c r="Q8" i="26"/>
  <c r="P8" i="26"/>
  <c r="N8" i="26"/>
  <c r="M8" i="26"/>
  <c r="K8" i="26"/>
  <c r="J8" i="26"/>
  <c r="H8" i="26"/>
  <c r="G8" i="26"/>
  <c r="D8" i="26"/>
  <c r="E8" i="26" s="1"/>
  <c r="BD7" i="26"/>
  <c r="BC7" i="26"/>
  <c r="BA7" i="26"/>
  <c r="AZ7" i="26"/>
  <c r="AX7" i="26"/>
  <c r="AW7" i="26"/>
  <c r="AU7" i="26"/>
  <c r="AT7" i="26"/>
  <c r="AR7" i="26"/>
  <c r="AQ7" i="26"/>
  <c r="AO7" i="26"/>
  <c r="AN7" i="26"/>
  <c r="AL7" i="26"/>
  <c r="AK7" i="26"/>
  <c r="AI7" i="26"/>
  <c r="AH7" i="26"/>
  <c r="AF7" i="26"/>
  <c r="AE7" i="26"/>
  <c r="AC7" i="26"/>
  <c r="AB7" i="26"/>
  <c r="Z7" i="26"/>
  <c r="Y7" i="26"/>
  <c r="W7" i="26"/>
  <c r="V7" i="26"/>
  <c r="T7" i="26"/>
  <c r="S7" i="26"/>
  <c r="Q7" i="26"/>
  <c r="P7" i="26"/>
  <c r="N7" i="26"/>
  <c r="M7" i="26"/>
  <c r="K7" i="26"/>
  <c r="J7" i="26"/>
  <c r="H7" i="26"/>
  <c r="G7" i="26"/>
  <c r="D7" i="26"/>
  <c r="E7" i="26" s="1"/>
  <c r="BD6" i="26"/>
  <c r="BC6" i="26"/>
  <c r="BA6" i="26"/>
  <c r="AZ6" i="26"/>
  <c r="AX6" i="26"/>
  <c r="AW6" i="26"/>
  <c r="AU6" i="26"/>
  <c r="AT6" i="26"/>
  <c r="AR6" i="26"/>
  <c r="AQ6" i="26"/>
  <c r="AO6" i="26"/>
  <c r="AN6" i="26"/>
  <c r="AL6" i="26"/>
  <c r="AK6" i="26"/>
  <c r="AI6" i="26"/>
  <c r="AH6" i="26"/>
  <c r="AF6" i="26"/>
  <c r="AE6" i="26"/>
  <c r="AC6" i="26"/>
  <c r="AB6" i="26"/>
  <c r="Z6" i="26"/>
  <c r="Y6" i="26"/>
  <c r="W6" i="26"/>
  <c r="V6" i="26"/>
  <c r="T6" i="26"/>
  <c r="S6" i="26"/>
  <c r="Q6" i="26"/>
  <c r="P6" i="26"/>
  <c r="N6" i="26"/>
  <c r="M6" i="26"/>
  <c r="K6" i="26"/>
  <c r="J6" i="26"/>
  <c r="H6" i="26"/>
  <c r="G6" i="26"/>
  <c r="D6" i="26"/>
  <c r="E6" i="26" s="1"/>
  <c r="BD5" i="26"/>
  <c r="BC5" i="26"/>
  <c r="BA5" i="26"/>
  <c r="AZ5" i="26"/>
  <c r="AX5" i="26"/>
  <c r="AW5" i="26"/>
  <c r="AU5" i="26"/>
  <c r="AT5" i="26"/>
  <c r="AR5" i="26"/>
  <c r="AQ5" i="26"/>
  <c r="AO5" i="26"/>
  <c r="AN5" i="26"/>
  <c r="AL5" i="26"/>
  <c r="AK5" i="26"/>
  <c r="AI5" i="26"/>
  <c r="AH5" i="26"/>
  <c r="AF5" i="26"/>
  <c r="AE5" i="26"/>
  <c r="AC5" i="26"/>
  <c r="AB5" i="26"/>
  <c r="Z5" i="26"/>
  <c r="Y5" i="26"/>
  <c r="W5" i="26"/>
  <c r="V5" i="26"/>
  <c r="T5" i="26"/>
  <c r="S5" i="26"/>
  <c r="Q5" i="26"/>
  <c r="P5" i="26"/>
  <c r="N5" i="26"/>
  <c r="M5" i="26"/>
  <c r="K5" i="26"/>
  <c r="J5" i="26"/>
  <c r="H5" i="26"/>
  <c r="G5" i="26"/>
  <c r="D5" i="26"/>
  <c r="E5" i="26" s="1"/>
  <c r="BD4" i="26"/>
  <c r="BC4" i="26"/>
  <c r="BA4" i="26"/>
  <c r="AZ4" i="26"/>
  <c r="AX4" i="26"/>
  <c r="AW4" i="26"/>
  <c r="AU4" i="26"/>
  <c r="AT4" i="26"/>
  <c r="AR4" i="26"/>
  <c r="AQ4" i="26"/>
  <c r="AO4" i="26"/>
  <c r="AN4" i="26"/>
  <c r="AL4" i="26"/>
  <c r="AK4" i="26"/>
  <c r="AI4" i="26"/>
  <c r="AH4" i="26"/>
  <c r="AF4" i="26"/>
  <c r="AE4" i="26"/>
  <c r="AC4" i="26"/>
  <c r="AB4" i="26"/>
  <c r="Z4" i="26"/>
  <c r="Y4" i="26"/>
  <c r="W4" i="26"/>
  <c r="V4" i="26"/>
  <c r="T4" i="26"/>
  <c r="S4" i="26"/>
  <c r="Q4" i="26"/>
  <c r="P4" i="26"/>
  <c r="N4" i="26"/>
  <c r="M4" i="26"/>
  <c r="K4" i="26"/>
  <c r="J4" i="26"/>
  <c r="H4" i="26"/>
  <c r="G4" i="26"/>
  <c r="D4" i="26"/>
  <c r="E4" i="26" s="1"/>
  <c r="F3" i="26"/>
  <c r="I3" i="26" s="1"/>
  <c r="L3" i="26" s="1"/>
  <c r="O3" i="26" s="1"/>
  <c r="R3" i="26" s="1"/>
  <c r="U3" i="26" s="1"/>
  <c r="X3" i="26" s="1"/>
  <c r="AA3" i="26" s="1"/>
  <c r="AD3" i="26" s="1"/>
  <c r="AG3" i="26" s="1"/>
  <c r="AJ3" i="26" s="1"/>
  <c r="AM3" i="26" s="1"/>
  <c r="AP3" i="26" s="1"/>
  <c r="AS3" i="26" s="1"/>
  <c r="AV3" i="26" s="1"/>
  <c r="AY3" i="26" s="1"/>
  <c r="BB3" i="26" s="1"/>
  <c r="F2" i="26"/>
  <c r="I2" i="26" s="1"/>
  <c r="L2" i="26" s="1"/>
  <c r="O2" i="26" s="1"/>
  <c r="R2" i="26" s="1"/>
  <c r="U2" i="26" s="1"/>
  <c r="X2" i="26" s="1"/>
  <c r="AA2" i="26" s="1"/>
  <c r="AD2" i="26" s="1"/>
  <c r="AG2" i="26" s="1"/>
  <c r="AJ2" i="26" s="1"/>
  <c r="AM2" i="26" s="1"/>
  <c r="AP2" i="26" s="1"/>
  <c r="AS2" i="26" s="1"/>
  <c r="AV2" i="26" s="1"/>
  <c r="AY2" i="26" s="1"/>
  <c r="BB2" i="26" s="1"/>
  <c r="F1" i="26"/>
  <c r="I1" i="26" s="1"/>
  <c r="L1" i="26" s="1"/>
  <c r="O1" i="26" s="1"/>
  <c r="R1" i="26" s="1"/>
  <c r="U1" i="26" s="1"/>
  <c r="X1" i="26" s="1"/>
  <c r="AA1" i="26" s="1"/>
  <c r="AD1" i="26" s="1"/>
  <c r="AG1" i="26" s="1"/>
  <c r="AJ1" i="26" s="1"/>
  <c r="AM1" i="26" s="1"/>
  <c r="AP1" i="26" s="1"/>
  <c r="AS1" i="26" s="1"/>
  <c r="AV1" i="26" s="1"/>
  <c r="AY1" i="26" s="1"/>
  <c r="BB1" i="26" s="1"/>
  <c r="BB13" i="25"/>
  <c r="AY13" i="25"/>
  <c r="AV13" i="25"/>
  <c r="AS13" i="25"/>
  <c r="AP13" i="25"/>
  <c r="AM13" i="25"/>
  <c r="AJ13" i="25"/>
  <c r="AG13" i="25"/>
  <c r="AD13" i="25"/>
  <c r="AA13" i="25"/>
  <c r="X13" i="25"/>
  <c r="U13" i="25"/>
  <c r="R13" i="25"/>
  <c r="O13" i="25"/>
  <c r="L13" i="25"/>
  <c r="I13" i="25"/>
  <c r="F13" i="25"/>
  <c r="C13" i="25"/>
  <c r="BD9" i="25"/>
  <c r="BC9" i="25"/>
  <c r="BA9" i="25"/>
  <c r="AZ9" i="25"/>
  <c r="AX9" i="25"/>
  <c r="AW9" i="25"/>
  <c r="AU9" i="25"/>
  <c r="AT9" i="25"/>
  <c r="AR9" i="25"/>
  <c r="AQ9" i="25"/>
  <c r="AO9" i="25"/>
  <c r="AN9" i="25"/>
  <c r="AL9" i="25"/>
  <c r="AK9" i="25"/>
  <c r="AI9" i="25"/>
  <c r="AH9" i="25"/>
  <c r="AF9" i="25"/>
  <c r="AE9" i="25"/>
  <c r="AC9" i="25"/>
  <c r="AB9" i="25"/>
  <c r="Z9" i="25"/>
  <c r="Y9" i="25"/>
  <c r="W9" i="25"/>
  <c r="V9" i="25"/>
  <c r="T9" i="25"/>
  <c r="S9" i="25"/>
  <c r="Q9" i="25"/>
  <c r="P9" i="25"/>
  <c r="N9" i="25"/>
  <c r="M9" i="25"/>
  <c r="K9" i="25"/>
  <c r="J9" i="25"/>
  <c r="H9" i="25"/>
  <c r="G9" i="25"/>
  <c r="D9" i="25"/>
  <c r="E9" i="25" s="1"/>
  <c r="BC8" i="25"/>
  <c r="BD8" i="25" s="1"/>
  <c r="BA8" i="25"/>
  <c r="AZ8" i="25"/>
  <c r="AX8" i="25"/>
  <c r="AW8" i="25"/>
  <c r="AU8" i="25"/>
  <c r="AT8" i="25"/>
  <c r="AR8" i="25"/>
  <c r="AQ8" i="25"/>
  <c r="AO8" i="25"/>
  <c r="AN8" i="25"/>
  <c r="AL8" i="25"/>
  <c r="AK8" i="25"/>
  <c r="AI8" i="25"/>
  <c r="AH8" i="25"/>
  <c r="AF8" i="25"/>
  <c r="AE8" i="25"/>
  <c r="AB8" i="25"/>
  <c r="AC8" i="25" s="1"/>
  <c r="Y8" i="25"/>
  <c r="Z8" i="25" s="1"/>
  <c r="V8" i="25"/>
  <c r="W8" i="25" s="1"/>
  <c r="S8" i="25"/>
  <c r="T8" i="25" s="1"/>
  <c r="Q8" i="25"/>
  <c r="P8" i="25"/>
  <c r="N8" i="25"/>
  <c r="M8" i="25"/>
  <c r="J8" i="25"/>
  <c r="K8" i="25" s="1"/>
  <c r="G8" i="25"/>
  <c r="H8" i="25" s="1"/>
  <c r="D8" i="25"/>
  <c r="E8" i="25" s="1"/>
  <c r="BC7" i="25"/>
  <c r="BD7" i="25" s="1"/>
  <c r="AZ7" i="25"/>
  <c r="BA7" i="25" s="1"/>
  <c r="AW7" i="25"/>
  <c r="AX7" i="25" s="1"/>
  <c r="AU7" i="25"/>
  <c r="AT7" i="25"/>
  <c r="AQ7" i="25"/>
  <c r="AR7" i="25" s="1"/>
  <c r="AN7" i="25"/>
  <c r="AO7" i="25" s="1"/>
  <c r="AL7" i="25"/>
  <c r="AK7" i="25"/>
  <c r="AH7" i="25"/>
  <c r="AI7" i="25" s="1"/>
  <c r="AE7" i="25"/>
  <c r="AF7" i="25" s="1"/>
  <c r="AB7" i="25"/>
  <c r="AC7" i="25" s="1"/>
  <c r="Y7" i="25"/>
  <c r="Z7" i="25" s="1"/>
  <c r="V7" i="25"/>
  <c r="W7" i="25" s="1"/>
  <c r="S7" i="25"/>
  <c r="T7" i="25" s="1"/>
  <c r="Q7" i="25"/>
  <c r="P7" i="25"/>
  <c r="M7" i="25"/>
  <c r="N7" i="25" s="1"/>
  <c r="J7" i="25"/>
  <c r="K7" i="25" s="1"/>
  <c r="H7" i="25"/>
  <c r="G7" i="25"/>
  <c r="D7" i="25"/>
  <c r="E7" i="25" s="1"/>
  <c r="BD6" i="25"/>
  <c r="BC6" i="25"/>
  <c r="BA6" i="25"/>
  <c r="AZ6" i="25"/>
  <c r="AX6" i="25"/>
  <c r="AW6" i="25"/>
  <c r="AU6" i="25"/>
  <c r="AT6" i="25"/>
  <c r="AQ6" i="25"/>
  <c r="AR6" i="25" s="1"/>
  <c r="AN6" i="25"/>
  <c r="AO6" i="25" s="1"/>
  <c r="AK6" i="25"/>
  <c r="AL6" i="25" s="1"/>
  <c r="AH6" i="25"/>
  <c r="AI6" i="25" s="1"/>
  <c r="AE6" i="25"/>
  <c r="AF6" i="25" s="1"/>
  <c r="AB6" i="25"/>
  <c r="AC6" i="25" s="1"/>
  <c r="Y6" i="25"/>
  <c r="Z6" i="25" s="1"/>
  <c r="W6" i="25"/>
  <c r="V6" i="25"/>
  <c r="T6" i="25"/>
  <c r="S6" i="25"/>
  <c r="Q6" i="25"/>
  <c r="P6" i="25"/>
  <c r="M6" i="25"/>
  <c r="N6" i="25" s="1"/>
  <c r="J6" i="25"/>
  <c r="K6" i="25" s="1"/>
  <c r="G6" i="25"/>
  <c r="H6" i="25" s="1"/>
  <c r="D6" i="25"/>
  <c r="E6" i="25" s="1"/>
  <c r="BC5" i="25"/>
  <c r="BD5" i="25" s="1"/>
  <c r="BA5" i="25"/>
  <c r="AZ5" i="25"/>
  <c r="AX5" i="25"/>
  <c r="AW5" i="25"/>
  <c r="AU5" i="25"/>
  <c r="AT5" i="25"/>
  <c r="AR5" i="25"/>
  <c r="AQ5" i="25"/>
  <c r="AN5" i="25"/>
  <c r="AO5" i="25" s="1"/>
  <c r="AL5" i="25"/>
  <c r="AK5" i="25"/>
  <c r="AI5" i="25"/>
  <c r="AH5" i="25"/>
  <c r="AE5" i="25"/>
  <c r="AF5" i="25" s="1"/>
  <c r="AB5" i="25"/>
  <c r="AC5" i="25" s="1"/>
  <c r="Y5" i="25"/>
  <c r="Z5" i="25" s="1"/>
  <c r="V5" i="25"/>
  <c r="W5" i="25" s="1"/>
  <c r="S5" i="25"/>
  <c r="T5" i="25" s="1"/>
  <c r="P5" i="25"/>
  <c r="Q5" i="25" s="1"/>
  <c r="N5" i="25"/>
  <c r="M5" i="25"/>
  <c r="J5" i="25"/>
  <c r="K5" i="25" s="1"/>
  <c r="G5" i="25"/>
  <c r="H5" i="25" s="1"/>
  <c r="D5" i="25"/>
  <c r="E5" i="25" s="1"/>
  <c r="BC4" i="25"/>
  <c r="BD4" i="25" s="1"/>
  <c r="AZ4" i="25"/>
  <c r="BA4" i="25" s="1"/>
  <c r="AX4" i="25"/>
  <c r="AW4" i="25"/>
  <c r="AU4" i="25"/>
  <c r="AT4" i="25"/>
  <c r="AR4" i="25"/>
  <c r="AQ4" i="25"/>
  <c r="AO4" i="25"/>
  <c r="AN4" i="25"/>
  <c r="AL4" i="25"/>
  <c r="AK4" i="25"/>
  <c r="AI4" i="25"/>
  <c r="AH4" i="25"/>
  <c r="AE4" i="25"/>
  <c r="AF4" i="25" s="1"/>
  <c r="AC4" i="25"/>
  <c r="AB4" i="25"/>
  <c r="Y4" i="25"/>
  <c r="Z4" i="25" s="1"/>
  <c r="W4" i="25"/>
  <c r="V4" i="25"/>
  <c r="T4" i="25"/>
  <c r="S4" i="25"/>
  <c r="P4" i="25"/>
  <c r="Q4" i="25" s="1"/>
  <c r="N4" i="25"/>
  <c r="M4" i="25"/>
  <c r="K4" i="25"/>
  <c r="J4" i="25"/>
  <c r="G4" i="25"/>
  <c r="H4" i="25" s="1"/>
  <c r="D4" i="25"/>
  <c r="E4" i="25" s="1"/>
  <c r="F3" i="25"/>
  <c r="I3" i="25" s="1"/>
  <c r="L3" i="25" s="1"/>
  <c r="O3" i="25" s="1"/>
  <c r="R3" i="25" s="1"/>
  <c r="U3" i="25" s="1"/>
  <c r="X3" i="25" s="1"/>
  <c r="AA3" i="25" s="1"/>
  <c r="AD3" i="25" s="1"/>
  <c r="AG3" i="25" s="1"/>
  <c r="AJ3" i="25" s="1"/>
  <c r="AM3" i="25" s="1"/>
  <c r="AP3" i="25" s="1"/>
  <c r="AS3" i="25" s="1"/>
  <c r="AV3" i="25" s="1"/>
  <c r="AY3" i="25" s="1"/>
  <c r="BB3" i="25" s="1"/>
  <c r="F2" i="25"/>
  <c r="I2" i="25" s="1"/>
  <c r="L2" i="25" s="1"/>
  <c r="O2" i="25" s="1"/>
  <c r="R2" i="25" s="1"/>
  <c r="U2" i="25" s="1"/>
  <c r="X2" i="25" s="1"/>
  <c r="AA2" i="25" s="1"/>
  <c r="AD2" i="25" s="1"/>
  <c r="AG2" i="25" s="1"/>
  <c r="AJ2" i="25" s="1"/>
  <c r="AM2" i="25" s="1"/>
  <c r="AP2" i="25" s="1"/>
  <c r="AS2" i="25" s="1"/>
  <c r="AV2" i="25" s="1"/>
  <c r="AY2" i="25" s="1"/>
  <c r="BB2" i="25" s="1"/>
  <c r="F1" i="25"/>
  <c r="I1" i="25" s="1"/>
  <c r="L1" i="25" s="1"/>
  <c r="O1" i="25" s="1"/>
  <c r="R1" i="25" s="1"/>
  <c r="U1" i="25" s="1"/>
  <c r="X1" i="25" s="1"/>
  <c r="AA1" i="25" s="1"/>
  <c r="AD1" i="25" s="1"/>
  <c r="AG1" i="25" s="1"/>
  <c r="AJ1" i="25" s="1"/>
  <c r="AM1" i="25" s="1"/>
  <c r="AP1" i="25" s="1"/>
  <c r="AS1" i="25" s="1"/>
  <c r="AV1" i="25" s="1"/>
  <c r="AY1" i="25" s="1"/>
  <c r="BB1" i="25" s="1"/>
  <c r="BB13" i="24"/>
  <c r="AY13" i="24"/>
  <c r="AV13" i="24"/>
  <c r="AS13" i="24"/>
  <c r="AP13" i="24"/>
  <c r="AM13" i="24"/>
  <c r="AJ13" i="24"/>
  <c r="AG13" i="24"/>
  <c r="AD13" i="24"/>
  <c r="AA13" i="24"/>
  <c r="X13" i="24"/>
  <c r="U13" i="24"/>
  <c r="R13" i="24"/>
  <c r="O13" i="24"/>
  <c r="L13" i="24"/>
  <c r="I13" i="24"/>
  <c r="F13" i="24"/>
  <c r="C13" i="24"/>
  <c r="BD9" i="24"/>
  <c r="BC9" i="24"/>
  <c r="AZ9" i="24"/>
  <c r="AW9" i="24"/>
  <c r="AX9" i="24" s="1"/>
  <c r="AT9" i="24"/>
  <c r="AU9" i="24" s="1"/>
  <c r="AQ9" i="24"/>
  <c r="AR9" i="24" s="1"/>
  <c r="AO9" i="24"/>
  <c r="AN9" i="24"/>
  <c r="AK9" i="24"/>
  <c r="AL9" i="24" s="1"/>
  <c r="AH9" i="24"/>
  <c r="AI9" i="24" s="1"/>
  <c r="AE9" i="24"/>
  <c r="AF9" i="24" s="1"/>
  <c r="AB9" i="24"/>
  <c r="AC9" i="24" s="1"/>
  <c r="Z9" i="24"/>
  <c r="Y9" i="24"/>
  <c r="V9" i="24"/>
  <c r="W9" i="24" s="1"/>
  <c r="T9" i="24"/>
  <c r="S9" i="24"/>
  <c r="P9" i="24"/>
  <c r="Q9" i="24" s="1"/>
  <c r="M9" i="24"/>
  <c r="N9" i="24" s="1"/>
  <c r="J9" i="24"/>
  <c r="K9" i="24" s="1"/>
  <c r="H9" i="24"/>
  <c r="G9" i="24"/>
  <c r="D9" i="24"/>
  <c r="E9" i="24" s="1"/>
  <c r="BC8" i="24"/>
  <c r="BD8" i="24" s="1"/>
  <c r="AZ8" i="24"/>
  <c r="AX8" i="24"/>
  <c r="BA8" i="24" s="1"/>
  <c r="AW8" i="24"/>
  <c r="AT8" i="24"/>
  <c r="AU8" i="24" s="1"/>
  <c r="AQ8" i="24"/>
  <c r="AR8" i="24" s="1"/>
  <c r="AN8" i="24"/>
  <c r="AO8" i="24" s="1"/>
  <c r="AK8" i="24"/>
  <c r="AL8" i="24" s="1"/>
  <c r="AH8" i="24"/>
  <c r="AI8" i="24" s="1"/>
  <c r="AE8" i="24"/>
  <c r="AF8" i="24" s="1"/>
  <c r="AC8" i="24"/>
  <c r="AB8" i="24"/>
  <c r="Z8" i="24"/>
  <c r="Y8" i="24"/>
  <c r="W8" i="24"/>
  <c r="V8" i="24"/>
  <c r="T8" i="24"/>
  <c r="S8" i="24"/>
  <c r="Q8" i="24"/>
  <c r="P8" i="24"/>
  <c r="N8" i="24"/>
  <c r="M8" i="24"/>
  <c r="K8" i="24"/>
  <c r="J8" i="24"/>
  <c r="H8" i="24"/>
  <c r="G8" i="24"/>
  <c r="D8" i="24"/>
  <c r="E8" i="24" s="1"/>
  <c r="BD7" i="24"/>
  <c r="BC7" i="24"/>
  <c r="AZ7" i="24"/>
  <c r="BA7" i="24" s="1"/>
  <c r="AW7" i="24"/>
  <c r="AX7" i="24" s="1"/>
  <c r="AU7" i="24"/>
  <c r="AT7" i="24"/>
  <c r="AR7" i="24"/>
  <c r="AQ7" i="24"/>
  <c r="AO7" i="24"/>
  <c r="AN7" i="24"/>
  <c r="AK7" i="24"/>
  <c r="AL7" i="24" s="1"/>
  <c r="AI7" i="24"/>
  <c r="AH7" i="24"/>
  <c r="AE7" i="24"/>
  <c r="AF7" i="24" s="1"/>
  <c r="AC7" i="24"/>
  <c r="AB7" i="24"/>
  <c r="Z7" i="24"/>
  <c r="Y7" i="24"/>
  <c r="W7" i="24"/>
  <c r="V7" i="24"/>
  <c r="S7" i="24"/>
  <c r="T7" i="24" s="1"/>
  <c r="P7" i="24"/>
  <c r="Q7" i="24" s="1"/>
  <c r="N7" i="24"/>
  <c r="M7" i="24"/>
  <c r="K7" i="24"/>
  <c r="J7" i="24"/>
  <c r="G7" i="24"/>
  <c r="H7" i="24" s="1"/>
  <c r="D7" i="24"/>
  <c r="E7" i="24" s="1"/>
  <c r="BD6" i="24"/>
  <c r="BC6" i="24"/>
  <c r="AZ6" i="24"/>
  <c r="BA6" i="24" s="1"/>
  <c r="AX6" i="24"/>
  <c r="AW6" i="24"/>
  <c r="AT6" i="24"/>
  <c r="AU6" i="24" s="1"/>
  <c r="AR6" i="24"/>
  <c r="AQ6" i="24"/>
  <c r="AN6" i="24"/>
  <c r="AO6" i="24" s="1"/>
  <c r="AL6" i="24"/>
  <c r="AK6" i="24"/>
  <c r="AH6" i="24"/>
  <c r="AI6" i="24" s="1"/>
  <c r="AF6" i="24"/>
  <c r="AE6" i="24"/>
  <c r="AC6" i="24"/>
  <c r="AB6" i="24"/>
  <c r="Z6" i="24"/>
  <c r="Y6" i="24"/>
  <c r="V6" i="24"/>
  <c r="W6" i="24" s="1"/>
  <c r="S6" i="24"/>
  <c r="T6" i="24" s="1"/>
  <c r="Q6" i="24"/>
  <c r="P6" i="24"/>
  <c r="N6" i="24"/>
  <c r="M6" i="24"/>
  <c r="K6" i="24"/>
  <c r="J6" i="24"/>
  <c r="H6" i="24"/>
  <c r="G6" i="24"/>
  <c r="D6" i="24"/>
  <c r="E6" i="24" s="1"/>
  <c r="BD5" i="24"/>
  <c r="BC5" i="24"/>
  <c r="BA5" i="24"/>
  <c r="AZ5" i="24"/>
  <c r="AW5" i="24"/>
  <c r="AX5" i="24" s="1"/>
  <c r="AT5" i="24"/>
  <c r="AU5" i="24" s="1"/>
  <c r="AQ5" i="24"/>
  <c r="AR5" i="24" s="1"/>
  <c r="AN5" i="24"/>
  <c r="AO5" i="24" s="1"/>
  <c r="AK5" i="24"/>
  <c r="AL5" i="24" s="1"/>
  <c r="AH5" i="24"/>
  <c r="AI5" i="24" s="1"/>
  <c r="AE5" i="24"/>
  <c r="AF5" i="24" s="1"/>
  <c r="AB5" i="24"/>
  <c r="AC5" i="24" s="1"/>
  <c r="Z5" i="24"/>
  <c r="Y5" i="24"/>
  <c r="W5" i="24"/>
  <c r="V5" i="24"/>
  <c r="S5" i="24"/>
  <c r="P5" i="24"/>
  <c r="Q5" i="24" s="1"/>
  <c r="M5" i="24"/>
  <c r="N5" i="24" s="1"/>
  <c r="K5" i="24"/>
  <c r="J5" i="24"/>
  <c r="H5" i="24"/>
  <c r="G5" i="24"/>
  <c r="D5" i="24"/>
  <c r="E5" i="24" s="1"/>
  <c r="BC4" i="24"/>
  <c r="BD4" i="24" s="1"/>
  <c r="AZ4" i="24"/>
  <c r="AW4" i="24"/>
  <c r="AT4" i="24"/>
  <c r="AU4" i="24" s="1"/>
  <c r="AQ4" i="24"/>
  <c r="AR4" i="24" s="1"/>
  <c r="AN4" i="24"/>
  <c r="AO4" i="24" s="1"/>
  <c r="AK4" i="24"/>
  <c r="AL4" i="24" s="1"/>
  <c r="AI4" i="24"/>
  <c r="AH4" i="24"/>
  <c r="AE4" i="24"/>
  <c r="AF4" i="24" s="1"/>
  <c r="AC4" i="24"/>
  <c r="AB4" i="24"/>
  <c r="Z4" i="24"/>
  <c r="Y4" i="24"/>
  <c r="W4" i="24"/>
  <c r="V4" i="24"/>
  <c r="S4" i="24"/>
  <c r="T4" i="24" s="1"/>
  <c r="P4" i="24"/>
  <c r="Q4" i="24" s="1"/>
  <c r="N4" i="24"/>
  <c r="M4" i="24"/>
  <c r="J4" i="24"/>
  <c r="K4" i="24" s="1"/>
  <c r="H4" i="24"/>
  <c r="G4" i="24"/>
  <c r="D4" i="24"/>
  <c r="E4" i="24" s="1"/>
  <c r="F3" i="24"/>
  <c r="I3" i="24" s="1"/>
  <c r="L3" i="24" s="1"/>
  <c r="O3" i="24" s="1"/>
  <c r="R3" i="24" s="1"/>
  <c r="U3" i="24" s="1"/>
  <c r="X3" i="24" s="1"/>
  <c r="AA3" i="24" s="1"/>
  <c r="AD3" i="24" s="1"/>
  <c r="AG3" i="24" s="1"/>
  <c r="AJ3" i="24" s="1"/>
  <c r="AM3" i="24" s="1"/>
  <c r="AP3" i="24" s="1"/>
  <c r="AS3" i="24" s="1"/>
  <c r="AV3" i="24" s="1"/>
  <c r="AY3" i="24" s="1"/>
  <c r="BB3" i="24" s="1"/>
  <c r="F2" i="24"/>
  <c r="I2" i="24" s="1"/>
  <c r="L2" i="24" s="1"/>
  <c r="O2" i="24" s="1"/>
  <c r="R2" i="24" s="1"/>
  <c r="U2" i="24" s="1"/>
  <c r="X2" i="24" s="1"/>
  <c r="AA2" i="24" s="1"/>
  <c r="AD2" i="24" s="1"/>
  <c r="AG2" i="24" s="1"/>
  <c r="AJ2" i="24" s="1"/>
  <c r="AM2" i="24" s="1"/>
  <c r="AP2" i="24" s="1"/>
  <c r="AS2" i="24" s="1"/>
  <c r="AV2" i="24" s="1"/>
  <c r="AY2" i="24" s="1"/>
  <c r="BB2" i="24" s="1"/>
  <c r="F1" i="24"/>
  <c r="I1" i="24" s="1"/>
  <c r="L1" i="24" s="1"/>
  <c r="O1" i="24" s="1"/>
  <c r="R1" i="24" s="1"/>
  <c r="U1" i="24" s="1"/>
  <c r="X1" i="24" s="1"/>
  <c r="AA1" i="24" s="1"/>
  <c r="AD1" i="24" s="1"/>
  <c r="AG1" i="24" s="1"/>
  <c r="AJ1" i="24" s="1"/>
  <c r="AM1" i="24" s="1"/>
  <c r="AP1" i="24" s="1"/>
  <c r="AS1" i="24" s="1"/>
  <c r="AV1" i="24" s="1"/>
  <c r="AY1" i="24" s="1"/>
  <c r="BB1" i="24" s="1"/>
  <c r="M7" i="23"/>
  <c r="BB13" i="23"/>
  <c r="AY13" i="23"/>
  <c r="AV13" i="23"/>
  <c r="AS13" i="23"/>
  <c r="AP13" i="23"/>
  <c r="AM13" i="23"/>
  <c r="AJ13" i="23"/>
  <c r="AG13" i="23"/>
  <c r="AD13" i="23"/>
  <c r="AA13" i="23"/>
  <c r="X13" i="23"/>
  <c r="U13" i="23"/>
  <c r="R13" i="23"/>
  <c r="O13" i="23"/>
  <c r="L13" i="23"/>
  <c r="I13" i="23"/>
  <c r="F13" i="23"/>
  <c r="C13" i="23"/>
  <c r="BC9" i="23"/>
  <c r="BD9" i="23" s="1"/>
  <c r="AZ9" i="23"/>
  <c r="BA9" i="23" s="1"/>
  <c r="AX9" i="23"/>
  <c r="AW9" i="23"/>
  <c r="AT9" i="23"/>
  <c r="AU9" i="23" s="1"/>
  <c r="AQ9" i="23"/>
  <c r="AR9" i="23" s="1"/>
  <c r="AN9" i="23"/>
  <c r="AO9" i="23" s="1"/>
  <c r="AK9" i="23"/>
  <c r="AL9" i="23" s="1"/>
  <c r="AH9" i="23"/>
  <c r="AI9" i="23" s="1"/>
  <c r="AE9" i="23"/>
  <c r="AF9" i="23" s="1"/>
  <c r="AB9" i="23"/>
  <c r="AC9" i="23" s="1"/>
  <c r="Z9" i="23"/>
  <c r="Y9" i="23"/>
  <c r="V9" i="23"/>
  <c r="W9" i="23" s="1"/>
  <c r="S9" i="23"/>
  <c r="T9" i="23" s="1"/>
  <c r="P9" i="23"/>
  <c r="Q9" i="23" s="1"/>
  <c r="N9" i="23"/>
  <c r="M9" i="23"/>
  <c r="K9" i="23"/>
  <c r="J9" i="23"/>
  <c r="H9" i="23"/>
  <c r="G9" i="23"/>
  <c r="D9" i="23"/>
  <c r="E9" i="23" s="1"/>
  <c r="BC8" i="23"/>
  <c r="BD8" i="23" s="1"/>
  <c r="AZ8" i="23"/>
  <c r="BA8" i="23" s="1"/>
  <c r="AW8" i="23"/>
  <c r="AX8" i="23" s="1"/>
  <c r="AT8" i="23"/>
  <c r="AU8" i="23" s="1"/>
  <c r="AQ8" i="23"/>
  <c r="AR8" i="23" s="1"/>
  <c r="AN8" i="23"/>
  <c r="AO8" i="23" s="1"/>
  <c r="AL8" i="23"/>
  <c r="AK8" i="23"/>
  <c r="AI8" i="23"/>
  <c r="AH8" i="23"/>
  <c r="AF8" i="23"/>
  <c r="AE8" i="23"/>
  <c r="AB8" i="23"/>
  <c r="AC8" i="23" s="1"/>
  <c r="Y8" i="23"/>
  <c r="Z8" i="23" s="1"/>
  <c r="V8" i="23"/>
  <c r="W8" i="23" s="1"/>
  <c r="S8" i="23"/>
  <c r="T8" i="23" s="1"/>
  <c r="P8" i="23"/>
  <c r="Q8" i="23" s="1"/>
  <c r="N8" i="23"/>
  <c r="M8" i="23"/>
  <c r="K8" i="23"/>
  <c r="J8" i="23"/>
  <c r="H8" i="23"/>
  <c r="G8" i="23"/>
  <c r="E8" i="23"/>
  <c r="D8" i="23"/>
  <c r="BD7" i="23"/>
  <c r="BC7" i="23"/>
  <c r="AZ7" i="23"/>
  <c r="BA7" i="23" s="1"/>
  <c r="AW7" i="23"/>
  <c r="AX7" i="23" s="1"/>
  <c r="AT7" i="23"/>
  <c r="AU7" i="23" s="1"/>
  <c r="AR7" i="23"/>
  <c r="AQ7" i="23"/>
  <c r="AN7" i="23"/>
  <c r="AO7" i="23" s="1"/>
  <c r="AK7" i="23"/>
  <c r="AL7" i="23" s="1"/>
  <c r="AH7" i="23"/>
  <c r="AI7" i="23" s="1"/>
  <c r="AE7" i="23"/>
  <c r="AF7" i="23" s="1"/>
  <c r="AC7" i="23"/>
  <c r="AB7" i="23"/>
  <c r="Y7" i="23"/>
  <c r="Z7" i="23" s="1"/>
  <c r="V7" i="23"/>
  <c r="W7" i="23" s="1"/>
  <c r="S7" i="23"/>
  <c r="T7" i="23" s="1"/>
  <c r="P7" i="23"/>
  <c r="N7" i="23"/>
  <c r="Q7" i="23" s="1"/>
  <c r="K7" i="23"/>
  <c r="J7" i="23"/>
  <c r="H7" i="23"/>
  <c r="G7" i="23"/>
  <c r="D7" i="23"/>
  <c r="E7" i="23" s="1"/>
  <c r="BC6" i="23"/>
  <c r="BD6" i="23" s="1"/>
  <c r="AZ6" i="23"/>
  <c r="BA6" i="23" s="1"/>
  <c r="AX6" i="23"/>
  <c r="AW6" i="23"/>
  <c r="AT6" i="23"/>
  <c r="AU6" i="23" s="1"/>
  <c r="AQ6" i="23"/>
  <c r="AR6" i="23" s="1"/>
  <c r="AN6" i="23"/>
  <c r="AO6" i="23" s="1"/>
  <c r="AL6" i="23"/>
  <c r="AK6" i="23"/>
  <c r="AI6" i="23"/>
  <c r="AH6" i="23"/>
  <c r="AE6" i="23"/>
  <c r="AF6" i="23" s="1"/>
  <c r="AB6" i="23"/>
  <c r="AC6" i="23" s="1"/>
  <c r="Y6" i="23"/>
  <c r="Z6" i="23" s="1"/>
  <c r="V6" i="23"/>
  <c r="W6" i="23" s="1"/>
  <c r="T6" i="23"/>
  <c r="S6" i="23"/>
  <c r="P6" i="23"/>
  <c r="Q6" i="23" s="1"/>
  <c r="N6" i="23"/>
  <c r="M6" i="23"/>
  <c r="K6" i="23"/>
  <c r="J6" i="23"/>
  <c r="H6" i="23"/>
  <c r="G6" i="23"/>
  <c r="E6" i="23"/>
  <c r="D6" i="23"/>
  <c r="BC5" i="23"/>
  <c r="BD5" i="23" s="1"/>
  <c r="BA5" i="23"/>
  <c r="AZ5" i="23"/>
  <c r="AW5" i="23"/>
  <c r="AX5" i="23" s="1"/>
  <c r="AT5" i="23"/>
  <c r="AU5" i="23" s="1"/>
  <c r="AR5" i="23"/>
  <c r="AQ5" i="23"/>
  <c r="AN5" i="23"/>
  <c r="AO5" i="23" s="1"/>
  <c r="AK5" i="23"/>
  <c r="AL5" i="23" s="1"/>
  <c r="AH5" i="23"/>
  <c r="AI5" i="23" s="1"/>
  <c r="AE5" i="23"/>
  <c r="AF5" i="23" s="1"/>
  <c r="AB5" i="23"/>
  <c r="AC5" i="23" s="1"/>
  <c r="Y5" i="23"/>
  <c r="Z5" i="23" s="1"/>
  <c r="V5" i="23"/>
  <c r="W5" i="23" s="1"/>
  <c r="T5" i="23"/>
  <c r="S5" i="23"/>
  <c r="P5" i="23"/>
  <c r="Q5" i="23" s="1"/>
  <c r="N5" i="23"/>
  <c r="M5" i="23"/>
  <c r="K5" i="23"/>
  <c r="J5" i="23"/>
  <c r="G5" i="23"/>
  <c r="H5" i="23" s="1"/>
  <c r="D5" i="23"/>
  <c r="E5" i="23" s="1"/>
  <c r="BD4" i="23"/>
  <c r="BC4" i="23"/>
  <c r="AZ4" i="23"/>
  <c r="BA4" i="23" s="1"/>
  <c r="AW4" i="23"/>
  <c r="AX4" i="23" s="1"/>
  <c r="AT4" i="23"/>
  <c r="AU4" i="23" s="1"/>
  <c r="AR4" i="23"/>
  <c r="AQ4" i="23"/>
  <c r="AN4" i="23"/>
  <c r="AO4" i="23" s="1"/>
  <c r="AK4" i="23"/>
  <c r="AL4" i="23" s="1"/>
  <c r="AH4" i="23"/>
  <c r="AI4" i="23" s="1"/>
  <c r="AE4" i="23"/>
  <c r="AF4" i="23" s="1"/>
  <c r="AC4" i="23"/>
  <c r="AB4" i="23"/>
  <c r="Z4" i="23"/>
  <c r="Y4" i="23"/>
  <c r="V4" i="23"/>
  <c r="W4" i="23" s="1"/>
  <c r="S4" i="23"/>
  <c r="T4" i="23" s="1"/>
  <c r="Q4" i="23"/>
  <c r="P4" i="23"/>
  <c r="M4" i="23"/>
  <c r="N4" i="23" s="1"/>
  <c r="J4" i="23"/>
  <c r="K4" i="23" s="1"/>
  <c r="H4" i="23"/>
  <c r="G4" i="23"/>
  <c r="E4" i="23"/>
  <c r="D4" i="23"/>
  <c r="I3" i="23"/>
  <c r="L3" i="23" s="1"/>
  <c r="O3" i="23" s="1"/>
  <c r="R3" i="23" s="1"/>
  <c r="U3" i="23" s="1"/>
  <c r="X3" i="23" s="1"/>
  <c r="AA3" i="23" s="1"/>
  <c r="AD3" i="23" s="1"/>
  <c r="AG3" i="23" s="1"/>
  <c r="AJ3" i="23" s="1"/>
  <c r="AM3" i="23" s="1"/>
  <c r="AP3" i="23" s="1"/>
  <c r="AS3" i="23" s="1"/>
  <c r="AV3" i="23" s="1"/>
  <c r="AY3" i="23" s="1"/>
  <c r="BB3" i="23" s="1"/>
  <c r="F3" i="23"/>
  <c r="F2" i="23"/>
  <c r="I2" i="23" s="1"/>
  <c r="L2" i="23" s="1"/>
  <c r="O2" i="23" s="1"/>
  <c r="R2" i="23" s="1"/>
  <c r="U2" i="23" s="1"/>
  <c r="X2" i="23" s="1"/>
  <c r="AA2" i="23" s="1"/>
  <c r="AD2" i="23" s="1"/>
  <c r="AG2" i="23" s="1"/>
  <c r="AJ2" i="23" s="1"/>
  <c r="AM2" i="23" s="1"/>
  <c r="AP2" i="23" s="1"/>
  <c r="AS2" i="23" s="1"/>
  <c r="AV2" i="23" s="1"/>
  <c r="AY2" i="23" s="1"/>
  <c r="BB2" i="23" s="1"/>
  <c r="F1" i="23"/>
  <c r="I1" i="23" s="1"/>
  <c r="L1" i="23" s="1"/>
  <c r="O1" i="23" s="1"/>
  <c r="R1" i="23" s="1"/>
  <c r="U1" i="23" s="1"/>
  <c r="X1" i="23" s="1"/>
  <c r="AA1" i="23" s="1"/>
  <c r="AD1" i="23" s="1"/>
  <c r="AG1" i="23" s="1"/>
  <c r="AJ1" i="23" s="1"/>
  <c r="AM1" i="23" s="1"/>
  <c r="AP1" i="23" s="1"/>
  <c r="AS1" i="23" s="1"/>
  <c r="AV1" i="23" s="1"/>
  <c r="AY1" i="23" s="1"/>
  <c r="BB1" i="23" s="1"/>
  <c r="AQ6" i="22"/>
  <c r="AK6" i="22"/>
  <c r="AK7" i="22"/>
  <c r="AK8" i="22"/>
  <c r="AK9" i="22"/>
  <c r="AL9" i="22" s="1"/>
  <c r="M7" i="22"/>
  <c r="BB13" i="22"/>
  <c r="AY13" i="22"/>
  <c r="AV13" i="22"/>
  <c r="AS13" i="22"/>
  <c r="AP13" i="22"/>
  <c r="AM13" i="22"/>
  <c r="AJ13" i="22"/>
  <c r="AG13" i="22"/>
  <c r="AD13" i="22"/>
  <c r="AA13" i="22"/>
  <c r="X13" i="22"/>
  <c r="U13" i="22"/>
  <c r="R13" i="22"/>
  <c r="O13" i="22"/>
  <c r="L13" i="22"/>
  <c r="I13" i="22"/>
  <c r="F13" i="22"/>
  <c r="C13" i="22"/>
  <c r="BC9" i="22"/>
  <c r="BD9" i="22" s="1"/>
  <c r="AZ9" i="22"/>
  <c r="BA9" i="22" s="1"/>
  <c r="AX9" i="22"/>
  <c r="AW9" i="22"/>
  <c r="AT9" i="22"/>
  <c r="AU9" i="22" s="1"/>
  <c r="AR9" i="22"/>
  <c r="AQ9" i="22"/>
  <c r="AN9" i="22"/>
  <c r="AI9" i="22"/>
  <c r="AH9" i="22"/>
  <c r="AF9" i="22"/>
  <c r="AE9" i="22"/>
  <c r="AC9" i="22"/>
  <c r="AB9" i="22"/>
  <c r="Z9" i="22"/>
  <c r="Y9" i="22"/>
  <c r="V9" i="22"/>
  <c r="W9" i="22" s="1"/>
  <c r="T9" i="22"/>
  <c r="S9" i="22"/>
  <c r="P9" i="22"/>
  <c r="Q9" i="22" s="1"/>
  <c r="N9" i="22"/>
  <c r="M9" i="22"/>
  <c r="K9" i="22"/>
  <c r="J9" i="22"/>
  <c r="G9" i="22"/>
  <c r="H9" i="22" s="1"/>
  <c r="E9" i="22"/>
  <c r="D9" i="22"/>
  <c r="BC8" i="22"/>
  <c r="BD8" i="22" s="1"/>
  <c r="BA8" i="22"/>
  <c r="AZ8" i="22"/>
  <c r="AX8" i="22"/>
  <c r="AW8" i="22"/>
  <c r="AT8" i="22"/>
  <c r="AU8" i="22" s="1"/>
  <c r="AQ8" i="22"/>
  <c r="AR8" i="22" s="1"/>
  <c r="AN8" i="22"/>
  <c r="AL8" i="22"/>
  <c r="AI8" i="22"/>
  <c r="AH8" i="22"/>
  <c r="AE8" i="22"/>
  <c r="AF8" i="22" s="1"/>
  <c r="AB8" i="22"/>
  <c r="AC8" i="22" s="1"/>
  <c r="Z8" i="22"/>
  <c r="Y8" i="22"/>
  <c r="V8" i="22"/>
  <c r="W8" i="22" s="1"/>
  <c r="T8" i="22"/>
  <c r="S8" i="22"/>
  <c r="P8" i="22"/>
  <c r="Q8" i="22" s="1"/>
  <c r="N8" i="22"/>
  <c r="M8" i="22"/>
  <c r="K8" i="22"/>
  <c r="J8" i="22"/>
  <c r="G8" i="22"/>
  <c r="H8" i="22" s="1"/>
  <c r="E8" i="22"/>
  <c r="D8" i="22"/>
  <c r="BC7" i="22"/>
  <c r="BD7" i="22" s="1"/>
  <c r="AZ7" i="22"/>
  <c r="BA7" i="22" s="1"/>
  <c r="AX7" i="22"/>
  <c r="AW7" i="22"/>
  <c r="AT7" i="22"/>
  <c r="AU7" i="22" s="1"/>
  <c r="AR7" i="22"/>
  <c r="AQ7" i="22"/>
  <c r="AN7" i="22"/>
  <c r="AO7" i="22" s="1"/>
  <c r="AL7" i="22"/>
  <c r="AH7" i="22"/>
  <c r="AI7" i="22" s="1"/>
  <c r="AF7" i="22"/>
  <c r="AE7" i="22"/>
  <c r="AC7" i="22"/>
  <c r="AB7" i="22"/>
  <c r="Y7" i="22"/>
  <c r="Z7" i="22" s="1"/>
  <c r="V7" i="22"/>
  <c r="W7" i="22" s="1"/>
  <c r="T7" i="22"/>
  <c r="S7" i="22"/>
  <c r="P7" i="22"/>
  <c r="Q7" i="22" s="1"/>
  <c r="N7" i="22"/>
  <c r="J7" i="22"/>
  <c r="K7" i="22" s="1"/>
  <c r="G7" i="22"/>
  <c r="H7" i="22" s="1"/>
  <c r="E7" i="22"/>
  <c r="D7" i="22"/>
  <c r="BD6" i="22"/>
  <c r="BC6" i="22"/>
  <c r="AZ6" i="22"/>
  <c r="BA6" i="22" s="1"/>
  <c r="AX6" i="22"/>
  <c r="AW6" i="22"/>
  <c r="AT6" i="22"/>
  <c r="AU6" i="22" s="1"/>
  <c r="AR6" i="22"/>
  <c r="AO6" i="22"/>
  <c r="AN6" i="22"/>
  <c r="AL6" i="22"/>
  <c r="AH6" i="22"/>
  <c r="AI6" i="22" s="1"/>
  <c r="AE6" i="22"/>
  <c r="AF6" i="22" s="1"/>
  <c r="AC6" i="22"/>
  <c r="AB6" i="22"/>
  <c r="Z6" i="22"/>
  <c r="Y6" i="22"/>
  <c r="W6" i="22"/>
  <c r="V6" i="22"/>
  <c r="T6" i="22"/>
  <c r="S6" i="22"/>
  <c r="Q6" i="22"/>
  <c r="P6" i="22"/>
  <c r="M6" i="22"/>
  <c r="N6" i="22" s="1"/>
  <c r="J6" i="22"/>
  <c r="K6" i="22" s="1"/>
  <c r="G6" i="22"/>
  <c r="H6" i="22" s="1"/>
  <c r="E6" i="22"/>
  <c r="D6" i="22"/>
  <c r="BC5" i="22"/>
  <c r="BD5" i="22" s="1"/>
  <c r="AZ5" i="22"/>
  <c r="BA5" i="22" s="1"/>
  <c r="AX5" i="22"/>
  <c r="AW5" i="22"/>
  <c r="AU5" i="22"/>
  <c r="AT5" i="22"/>
  <c r="AQ5" i="22"/>
  <c r="AR5" i="22" s="1"/>
  <c r="AN5" i="22"/>
  <c r="AO5" i="22" s="1"/>
  <c r="AL5" i="22"/>
  <c r="AK5" i="22"/>
  <c r="AI5" i="22"/>
  <c r="AH5" i="22"/>
  <c r="AF5" i="22"/>
  <c r="AE5" i="22"/>
  <c r="AC5" i="22"/>
  <c r="AB5" i="22"/>
  <c r="Z5" i="22"/>
  <c r="Y5" i="22"/>
  <c r="V5" i="22"/>
  <c r="W5" i="22" s="1"/>
  <c r="T5" i="22"/>
  <c r="S5" i="22"/>
  <c r="P5" i="22"/>
  <c r="Q5" i="22" s="1"/>
  <c r="N5" i="22"/>
  <c r="M5" i="22"/>
  <c r="J5" i="22"/>
  <c r="K5" i="22" s="1"/>
  <c r="H5" i="22"/>
  <c r="G5" i="22"/>
  <c r="D5" i="22"/>
  <c r="E5" i="22" s="1"/>
  <c r="BD4" i="22"/>
  <c r="BC4" i="22"/>
  <c r="BA4" i="22"/>
  <c r="AZ4" i="22"/>
  <c r="AX4" i="22"/>
  <c r="AW4" i="22"/>
  <c r="AT4" i="22"/>
  <c r="AU4" i="22" s="1"/>
  <c r="AR4" i="22"/>
  <c r="AQ4" i="22"/>
  <c r="AN4" i="22"/>
  <c r="AK4" i="22"/>
  <c r="AL4" i="22" s="1"/>
  <c r="AI4" i="22"/>
  <c r="AH4" i="22"/>
  <c r="AF4" i="22"/>
  <c r="AE4" i="22"/>
  <c r="AB4" i="22"/>
  <c r="AC4" i="22" s="1"/>
  <c r="Y4" i="22"/>
  <c r="Z4" i="22" s="1"/>
  <c r="W4" i="22"/>
  <c r="V4" i="22"/>
  <c r="S4" i="22"/>
  <c r="T4" i="22" s="1"/>
  <c r="Q4" i="22"/>
  <c r="P4" i="22"/>
  <c r="N4" i="22"/>
  <c r="M4" i="22"/>
  <c r="K4" i="22"/>
  <c r="J4" i="22"/>
  <c r="G4" i="22"/>
  <c r="H4" i="22" s="1"/>
  <c r="E4" i="22"/>
  <c r="D4" i="22"/>
  <c r="I3" i="22"/>
  <c r="L3" i="22" s="1"/>
  <c r="O3" i="22" s="1"/>
  <c r="R3" i="22" s="1"/>
  <c r="U3" i="22" s="1"/>
  <c r="X3" i="22" s="1"/>
  <c r="AA3" i="22" s="1"/>
  <c r="AD3" i="22" s="1"/>
  <c r="AG3" i="22" s="1"/>
  <c r="AJ3" i="22" s="1"/>
  <c r="AM3" i="22" s="1"/>
  <c r="AP3" i="22" s="1"/>
  <c r="AS3" i="22" s="1"/>
  <c r="AV3" i="22" s="1"/>
  <c r="AY3" i="22" s="1"/>
  <c r="BB3" i="22" s="1"/>
  <c r="F3" i="22"/>
  <c r="F2" i="22"/>
  <c r="I2" i="22" s="1"/>
  <c r="L2" i="22" s="1"/>
  <c r="O2" i="22" s="1"/>
  <c r="R2" i="22" s="1"/>
  <c r="U2" i="22" s="1"/>
  <c r="X2" i="22" s="1"/>
  <c r="AA2" i="22" s="1"/>
  <c r="AD2" i="22" s="1"/>
  <c r="AG2" i="22" s="1"/>
  <c r="AJ2" i="22" s="1"/>
  <c r="AM2" i="22" s="1"/>
  <c r="AP2" i="22" s="1"/>
  <c r="AS2" i="22" s="1"/>
  <c r="AV2" i="22" s="1"/>
  <c r="AY2" i="22" s="1"/>
  <c r="BB2" i="22" s="1"/>
  <c r="F1" i="22"/>
  <c r="I1" i="22" s="1"/>
  <c r="L1" i="22" s="1"/>
  <c r="O1" i="22" s="1"/>
  <c r="R1" i="22" s="1"/>
  <c r="U1" i="22" s="1"/>
  <c r="X1" i="22" s="1"/>
  <c r="AA1" i="22" s="1"/>
  <c r="AD1" i="22" s="1"/>
  <c r="AG1" i="22" s="1"/>
  <c r="AJ1" i="22" s="1"/>
  <c r="AM1" i="22" s="1"/>
  <c r="AP1" i="22" s="1"/>
  <c r="AS1" i="22" s="1"/>
  <c r="AV1" i="22" s="1"/>
  <c r="AY1" i="22" s="1"/>
  <c r="BB1" i="22" s="1"/>
  <c r="BB13" i="21"/>
  <c r="AY13" i="21"/>
  <c r="AV13" i="21"/>
  <c r="AS13" i="21"/>
  <c r="AP13" i="21"/>
  <c r="AM13" i="21"/>
  <c r="AJ13" i="21"/>
  <c r="AG13" i="21"/>
  <c r="AD13" i="21"/>
  <c r="AA13" i="21"/>
  <c r="X13" i="21"/>
  <c r="U13" i="21"/>
  <c r="R13" i="21"/>
  <c r="O13" i="21"/>
  <c r="L13" i="21"/>
  <c r="I13" i="21"/>
  <c r="F13" i="21"/>
  <c r="C13" i="21"/>
  <c r="BD9" i="21"/>
  <c r="BC9" i="21"/>
  <c r="AZ9" i="21"/>
  <c r="BA9" i="21" s="1"/>
  <c r="AX9" i="21"/>
  <c r="AW9" i="21"/>
  <c r="AU9" i="21"/>
  <c r="AT9" i="21"/>
  <c r="AQ9" i="21"/>
  <c r="AR9" i="21" s="1"/>
  <c r="AO9" i="21"/>
  <c r="AN9" i="21"/>
  <c r="AK9" i="21"/>
  <c r="AL9" i="21" s="1"/>
  <c r="AI9" i="21"/>
  <c r="AH9" i="21"/>
  <c r="AE9" i="21"/>
  <c r="AF9" i="21" s="1"/>
  <c r="AB9" i="21"/>
  <c r="AC9" i="21" s="1"/>
  <c r="Y9" i="21"/>
  <c r="Z9" i="21" s="1"/>
  <c r="V9" i="21"/>
  <c r="W9" i="21" s="1"/>
  <c r="S9" i="21"/>
  <c r="T9" i="21" s="1"/>
  <c r="P9" i="21"/>
  <c r="Q9" i="21" s="1"/>
  <c r="M9" i="21"/>
  <c r="N9" i="21" s="1"/>
  <c r="J9" i="21"/>
  <c r="K9" i="21" s="1"/>
  <c r="G9" i="21"/>
  <c r="H9" i="21" s="1"/>
  <c r="D9" i="21"/>
  <c r="E9" i="21" s="1"/>
  <c r="BC8" i="21"/>
  <c r="BD8" i="21" s="1"/>
  <c r="BA8" i="21"/>
  <c r="AZ8" i="21"/>
  <c r="AX8" i="21"/>
  <c r="AW8" i="21"/>
  <c r="AU8" i="21"/>
  <c r="AT8" i="21"/>
  <c r="AQ8" i="21"/>
  <c r="AR8" i="21" s="1"/>
  <c r="AN8" i="21"/>
  <c r="AO8" i="21" s="1"/>
  <c r="AK8" i="21"/>
  <c r="AL8" i="21" s="1"/>
  <c r="AI8" i="21"/>
  <c r="AH8" i="21"/>
  <c r="AF8" i="21"/>
  <c r="AE8" i="21"/>
  <c r="AB8" i="21"/>
  <c r="AC8" i="21" s="1"/>
  <c r="Y8" i="21"/>
  <c r="Z8" i="21" s="1"/>
  <c r="V8" i="21"/>
  <c r="W8" i="21" s="1"/>
  <c r="S8" i="21"/>
  <c r="T8" i="21" s="1"/>
  <c r="P8" i="21"/>
  <c r="Q8" i="21" s="1"/>
  <c r="N8" i="21"/>
  <c r="M8" i="21"/>
  <c r="J8" i="21"/>
  <c r="K8" i="21" s="1"/>
  <c r="H8" i="21"/>
  <c r="G8" i="21"/>
  <c r="E8" i="21"/>
  <c r="D8" i="21"/>
  <c r="BD7" i="21"/>
  <c r="BC7" i="21"/>
  <c r="AZ7" i="21"/>
  <c r="BA7" i="21" s="1"/>
  <c r="AW7" i="21"/>
  <c r="AX7" i="21" s="1"/>
  <c r="AU7" i="21"/>
  <c r="AT7" i="21"/>
  <c r="AQ7" i="21"/>
  <c r="AR7" i="21" s="1"/>
  <c r="AN7" i="21"/>
  <c r="AO7" i="21" s="1"/>
  <c r="AK7" i="21"/>
  <c r="AH7" i="21"/>
  <c r="AI7" i="21" s="1"/>
  <c r="AE7" i="21"/>
  <c r="AF7" i="21" s="1"/>
  <c r="AC7" i="21"/>
  <c r="AB7" i="21"/>
  <c r="Y7" i="21"/>
  <c r="Z7" i="21" s="1"/>
  <c r="W7" i="21"/>
  <c r="V7" i="21"/>
  <c r="S7" i="21"/>
  <c r="T7" i="21" s="1"/>
  <c r="Q7" i="21"/>
  <c r="P7" i="21"/>
  <c r="N7" i="21"/>
  <c r="M7" i="21"/>
  <c r="J7" i="21"/>
  <c r="K7" i="21" s="1"/>
  <c r="H7" i="21"/>
  <c r="G7" i="21"/>
  <c r="D7" i="21"/>
  <c r="E7" i="21" s="1"/>
  <c r="BC6" i="21"/>
  <c r="BD6" i="21" s="1"/>
  <c r="BA6" i="21"/>
  <c r="AZ6" i="21"/>
  <c r="AW6" i="21"/>
  <c r="AX6" i="21" s="1"/>
  <c r="AU6" i="21"/>
  <c r="AT6" i="21"/>
  <c r="AQ6" i="21"/>
  <c r="AR6" i="21" s="1"/>
  <c r="AN6" i="21"/>
  <c r="AO6" i="21" s="1"/>
  <c r="AK6" i="21"/>
  <c r="AL6" i="21" s="1"/>
  <c r="AI6" i="21"/>
  <c r="AH6" i="21"/>
  <c r="AE6" i="21"/>
  <c r="AF6" i="21" s="1"/>
  <c r="AC6" i="21"/>
  <c r="AB6" i="21"/>
  <c r="Y6" i="21"/>
  <c r="Z6" i="21" s="1"/>
  <c r="V6" i="21"/>
  <c r="W6" i="21" s="1"/>
  <c r="S6" i="21"/>
  <c r="T6" i="21" s="1"/>
  <c r="P6" i="21"/>
  <c r="Q6" i="21" s="1"/>
  <c r="M6" i="21"/>
  <c r="N6" i="21" s="1"/>
  <c r="J6" i="21"/>
  <c r="K6" i="21" s="1"/>
  <c r="H6" i="21"/>
  <c r="G6" i="21"/>
  <c r="D6" i="21"/>
  <c r="E6" i="21" s="1"/>
  <c r="BD5" i="21"/>
  <c r="BC5" i="21"/>
  <c r="AZ5" i="21"/>
  <c r="BA5" i="21" s="1"/>
  <c r="AW5" i="21"/>
  <c r="AX5" i="21" s="1"/>
  <c r="AU5" i="21"/>
  <c r="AT5" i="21"/>
  <c r="AR5" i="21"/>
  <c r="AQ5" i="21"/>
  <c r="AN5" i="21"/>
  <c r="AO5" i="21" s="1"/>
  <c r="AL5" i="21"/>
  <c r="AK5" i="21"/>
  <c r="AI5" i="21"/>
  <c r="AH5" i="21"/>
  <c r="AF5" i="21"/>
  <c r="AE5" i="21"/>
  <c r="AB5" i="21"/>
  <c r="AC5" i="21" s="1"/>
  <c r="Z5" i="21"/>
  <c r="Y5" i="21"/>
  <c r="V5" i="21"/>
  <c r="W5" i="21" s="1"/>
  <c r="S5" i="21"/>
  <c r="T5" i="21" s="1"/>
  <c r="P5" i="21"/>
  <c r="Q5" i="21" s="1"/>
  <c r="M5" i="21"/>
  <c r="N5" i="21" s="1"/>
  <c r="K5" i="21"/>
  <c r="J5" i="21"/>
  <c r="G5" i="21"/>
  <c r="H5" i="21" s="1"/>
  <c r="D5" i="21"/>
  <c r="E5" i="21" s="1"/>
  <c r="BD4" i="21"/>
  <c r="BC4" i="21"/>
  <c r="AZ4" i="21"/>
  <c r="BA4" i="21" s="1"/>
  <c r="AW4" i="21"/>
  <c r="AX4" i="21" s="1"/>
  <c r="AU4" i="21"/>
  <c r="AT4" i="21"/>
  <c r="AR4" i="21"/>
  <c r="AQ4" i="21"/>
  <c r="AO4" i="21"/>
  <c r="AN4" i="21"/>
  <c r="AK4" i="21"/>
  <c r="AL4" i="21" s="1"/>
  <c r="AH4" i="21"/>
  <c r="AI4" i="21" s="1"/>
  <c r="AE4" i="21"/>
  <c r="AF4" i="21" s="1"/>
  <c r="AC4" i="21"/>
  <c r="AB4" i="21"/>
  <c r="Z4" i="21"/>
  <c r="Y4" i="21"/>
  <c r="V4" i="21"/>
  <c r="W4" i="21" s="1"/>
  <c r="S4" i="21"/>
  <c r="T4" i="21" s="1"/>
  <c r="P4" i="21"/>
  <c r="Q4" i="21" s="1"/>
  <c r="N4" i="21"/>
  <c r="M4" i="21"/>
  <c r="J4" i="21"/>
  <c r="K4" i="21" s="1"/>
  <c r="G4" i="21"/>
  <c r="D4" i="21"/>
  <c r="E4" i="21" s="1"/>
  <c r="H4" i="21" s="1"/>
  <c r="L3" i="21"/>
  <c r="O3" i="21" s="1"/>
  <c r="R3" i="21" s="1"/>
  <c r="U3" i="21" s="1"/>
  <c r="X3" i="21" s="1"/>
  <c r="AA3" i="21" s="1"/>
  <c r="AD3" i="21" s="1"/>
  <c r="AG3" i="21" s="1"/>
  <c r="AJ3" i="21" s="1"/>
  <c r="AM3" i="21" s="1"/>
  <c r="AP3" i="21" s="1"/>
  <c r="AS3" i="21" s="1"/>
  <c r="AV3" i="21" s="1"/>
  <c r="AY3" i="21" s="1"/>
  <c r="BB3" i="21" s="1"/>
  <c r="I3" i="21"/>
  <c r="F3" i="21"/>
  <c r="F2" i="21"/>
  <c r="I2" i="21" s="1"/>
  <c r="L2" i="21" s="1"/>
  <c r="O2" i="21" s="1"/>
  <c r="R2" i="21" s="1"/>
  <c r="U2" i="21" s="1"/>
  <c r="X2" i="21" s="1"/>
  <c r="AA2" i="21" s="1"/>
  <c r="AD2" i="21" s="1"/>
  <c r="AG2" i="21" s="1"/>
  <c r="AJ2" i="21" s="1"/>
  <c r="AM2" i="21" s="1"/>
  <c r="AP2" i="21" s="1"/>
  <c r="AS2" i="21" s="1"/>
  <c r="AV2" i="21" s="1"/>
  <c r="AY2" i="21" s="1"/>
  <c r="BB2" i="21" s="1"/>
  <c r="F1" i="21"/>
  <c r="I1" i="21" s="1"/>
  <c r="L1" i="21" s="1"/>
  <c r="O1" i="21" s="1"/>
  <c r="R1" i="21" s="1"/>
  <c r="U1" i="21" s="1"/>
  <c r="X1" i="21" s="1"/>
  <c r="AA1" i="21" s="1"/>
  <c r="AD1" i="21" s="1"/>
  <c r="AG1" i="21" s="1"/>
  <c r="AJ1" i="21" s="1"/>
  <c r="AM1" i="21" s="1"/>
  <c r="AP1" i="21" s="1"/>
  <c r="AS1" i="21" s="1"/>
  <c r="AV1" i="21" s="1"/>
  <c r="AY1" i="21" s="1"/>
  <c r="BB1" i="21" s="1"/>
  <c r="Z10" i="20"/>
  <c r="Y10" i="20"/>
  <c r="BB13" i="20"/>
  <c r="AY13" i="20"/>
  <c r="AV13" i="20"/>
  <c r="AS13" i="20"/>
  <c r="AP13" i="20"/>
  <c r="AM13" i="20"/>
  <c r="AJ13" i="20"/>
  <c r="AG13" i="20"/>
  <c r="AD13" i="20"/>
  <c r="AA13" i="20"/>
  <c r="X13" i="20"/>
  <c r="U13" i="20"/>
  <c r="R13" i="20"/>
  <c r="O13" i="20"/>
  <c r="L13" i="20"/>
  <c r="I13" i="20"/>
  <c r="F13" i="20"/>
  <c r="C13" i="20"/>
  <c r="BC9" i="20"/>
  <c r="BD9" i="20" s="1"/>
  <c r="BA9" i="20"/>
  <c r="AZ9" i="20"/>
  <c r="AW9" i="20"/>
  <c r="AX9" i="20" s="1"/>
  <c r="AU9" i="20"/>
  <c r="AT9" i="20"/>
  <c r="AQ9" i="20"/>
  <c r="AR9" i="20" s="1"/>
  <c r="AN9" i="20"/>
  <c r="AO9" i="20" s="1"/>
  <c r="AK9" i="20"/>
  <c r="AL9" i="20" s="1"/>
  <c r="AH9" i="20"/>
  <c r="AE9" i="20"/>
  <c r="AB9" i="20"/>
  <c r="Y9" i="20"/>
  <c r="V9" i="20"/>
  <c r="W9" i="20" s="1"/>
  <c r="S9" i="20"/>
  <c r="P9" i="20"/>
  <c r="M9" i="20"/>
  <c r="J9" i="20"/>
  <c r="G9" i="20"/>
  <c r="H9" i="20" s="1"/>
  <c r="D9" i="20"/>
  <c r="E9" i="20" s="1"/>
  <c r="BC8" i="20"/>
  <c r="BD8" i="20" s="1"/>
  <c r="BA8" i="20"/>
  <c r="AZ8" i="20"/>
  <c r="AX8" i="20"/>
  <c r="AW8" i="20"/>
  <c r="AT8" i="20"/>
  <c r="AU8" i="20" s="1"/>
  <c r="AQ8" i="20"/>
  <c r="AR8" i="20" s="1"/>
  <c r="AO8" i="20"/>
  <c r="AN8" i="20"/>
  <c r="AK8" i="20"/>
  <c r="AL8" i="20" s="1"/>
  <c r="AH8" i="20"/>
  <c r="AE8" i="20"/>
  <c r="AB8" i="20"/>
  <c r="Y8" i="20"/>
  <c r="W8" i="20"/>
  <c r="V8" i="20"/>
  <c r="S8" i="20"/>
  <c r="P8" i="20"/>
  <c r="M8" i="20"/>
  <c r="J8" i="20"/>
  <c r="G8" i="20"/>
  <c r="H8" i="20" s="1"/>
  <c r="D8" i="20"/>
  <c r="E8" i="20" s="1"/>
  <c r="BC7" i="20"/>
  <c r="BD7" i="20" s="1"/>
  <c r="AZ7" i="20"/>
  <c r="BA7" i="20" s="1"/>
  <c r="AW7" i="20"/>
  <c r="AX7" i="20" s="1"/>
  <c r="AT7" i="20"/>
  <c r="AR7" i="20"/>
  <c r="AQ7" i="20"/>
  <c r="AO7" i="20"/>
  <c r="AN7" i="20"/>
  <c r="AK7" i="20"/>
  <c r="AH7" i="20"/>
  <c r="AI7" i="20" s="1"/>
  <c r="AL7" i="20" s="1"/>
  <c r="AE7" i="20"/>
  <c r="AB7" i="20"/>
  <c r="Y7" i="20"/>
  <c r="V7" i="20"/>
  <c r="W7" i="20" s="1"/>
  <c r="S7" i="20"/>
  <c r="P7" i="20"/>
  <c r="M7" i="20"/>
  <c r="J7" i="20"/>
  <c r="G7" i="20"/>
  <c r="D7" i="20"/>
  <c r="E7" i="20" s="1"/>
  <c r="BD6" i="20"/>
  <c r="BC6" i="20"/>
  <c r="BA6" i="20"/>
  <c r="AZ6" i="20"/>
  <c r="AX6" i="20"/>
  <c r="AW6" i="20"/>
  <c r="AU6" i="20"/>
  <c r="AT6" i="20"/>
  <c r="AR6" i="20"/>
  <c r="AQ6" i="20"/>
  <c r="AN6" i="20"/>
  <c r="AO6" i="20" s="1"/>
  <c r="AK6" i="20"/>
  <c r="AL6" i="20" s="1"/>
  <c r="AH6" i="20"/>
  <c r="AE6" i="20"/>
  <c r="AB6" i="20"/>
  <c r="Y6" i="20"/>
  <c r="W6" i="20"/>
  <c r="V6" i="20"/>
  <c r="S6" i="20"/>
  <c r="P6" i="20"/>
  <c r="M6" i="20"/>
  <c r="J6" i="20"/>
  <c r="G6" i="20"/>
  <c r="D6" i="20"/>
  <c r="E6" i="20" s="1"/>
  <c r="BC5" i="20"/>
  <c r="BD5" i="20" s="1"/>
  <c r="BA5" i="20"/>
  <c r="AZ5" i="20"/>
  <c r="AW5" i="20"/>
  <c r="AX5" i="20" s="1"/>
  <c r="AU5" i="20"/>
  <c r="AT5" i="20"/>
  <c r="AQ5" i="20"/>
  <c r="AR5" i="20" s="1"/>
  <c r="AO5" i="20"/>
  <c r="AN5" i="20"/>
  <c r="AL5" i="20"/>
  <c r="AK5" i="20"/>
  <c r="AH5" i="20"/>
  <c r="AE5" i="20"/>
  <c r="AB5" i="20"/>
  <c r="Y5" i="20"/>
  <c r="V5" i="20"/>
  <c r="W5" i="20" s="1"/>
  <c r="S5" i="20"/>
  <c r="P5" i="20"/>
  <c r="M5" i="20"/>
  <c r="J5" i="20"/>
  <c r="K5" i="20" s="1"/>
  <c r="G5" i="20"/>
  <c r="H5" i="20" s="1"/>
  <c r="D5" i="20"/>
  <c r="E5" i="20" s="1"/>
  <c r="BC4" i="20"/>
  <c r="AZ4" i="20"/>
  <c r="BA4" i="20" s="1"/>
  <c r="AW4" i="20"/>
  <c r="AT4" i="20"/>
  <c r="AU4" i="20" s="1"/>
  <c r="AX4" i="20" s="1"/>
  <c r="AQ4" i="20"/>
  <c r="AR4" i="20" s="1"/>
  <c r="AO4" i="20"/>
  <c r="AN4" i="20"/>
  <c r="AK4" i="20"/>
  <c r="AL4" i="20" s="1"/>
  <c r="AH4" i="20"/>
  <c r="AE4" i="20"/>
  <c r="AB4" i="20"/>
  <c r="Y4" i="20"/>
  <c r="V4" i="20"/>
  <c r="W4" i="20" s="1"/>
  <c r="Z4" i="20" s="1"/>
  <c r="S4" i="20"/>
  <c r="P4" i="20"/>
  <c r="M4" i="20"/>
  <c r="J4" i="20"/>
  <c r="G4" i="20"/>
  <c r="H4" i="20" s="1"/>
  <c r="D4" i="20"/>
  <c r="E4" i="20" s="1"/>
  <c r="F3" i="20"/>
  <c r="I3" i="20" s="1"/>
  <c r="L3" i="20" s="1"/>
  <c r="O3" i="20" s="1"/>
  <c r="R3" i="20" s="1"/>
  <c r="U3" i="20" s="1"/>
  <c r="X3" i="20" s="1"/>
  <c r="AA3" i="20" s="1"/>
  <c r="AD3" i="20" s="1"/>
  <c r="AG3" i="20" s="1"/>
  <c r="AJ3" i="20" s="1"/>
  <c r="AM3" i="20" s="1"/>
  <c r="AP3" i="20" s="1"/>
  <c r="AS3" i="20" s="1"/>
  <c r="AV3" i="20" s="1"/>
  <c r="AY3" i="20" s="1"/>
  <c r="BB3" i="20" s="1"/>
  <c r="F2" i="20"/>
  <c r="I2" i="20" s="1"/>
  <c r="L2" i="20" s="1"/>
  <c r="O2" i="20" s="1"/>
  <c r="R2" i="20" s="1"/>
  <c r="U2" i="20" s="1"/>
  <c r="X2" i="20" s="1"/>
  <c r="AA2" i="20" s="1"/>
  <c r="AD2" i="20" s="1"/>
  <c r="AG2" i="20" s="1"/>
  <c r="AJ2" i="20" s="1"/>
  <c r="AM2" i="20" s="1"/>
  <c r="AP2" i="20" s="1"/>
  <c r="AS2" i="20" s="1"/>
  <c r="AV2" i="20" s="1"/>
  <c r="AY2" i="20" s="1"/>
  <c r="BB2" i="20" s="1"/>
  <c r="F1" i="20"/>
  <c r="I1" i="20" s="1"/>
  <c r="L1" i="20" s="1"/>
  <c r="O1" i="20" s="1"/>
  <c r="R1" i="20" s="1"/>
  <c r="U1" i="20" s="1"/>
  <c r="X1" i="20" s="1"/>
  <c r="AA1" i="20" s="1"/>
  <c r="AD1" i="20" s="1"/>
  <c r="AG1" i="20" s="1"/>
  <c r="AJ1" i="20" s="1"/>
  <c r="AM1" i="20" s="1"/>
  <c r="AP1" i="20" s="1"/>
  <c r="AS1" i="20" s="1"/>
  <c r="AV1" i="20" s="1"/>
  <c r="AY1" i="20" s="1"/>
  <c r="BB1" i="20" s="1"/>
  <c r="BB21" i="19"/>
  <c r="AY21" i="19"/>
  <c r="AV21" i="19"/>
  <c r="AS21" i="19"/>
  <c r="AP21" i="19"/>
  <c r="AM21" i="19"/>
  <c r="AJ21" i="19"/>
  <c r="AG21" i="19"/>
  <c r="AD21" i="19"/>
  <c r="AA21" i="19"/>
  <c r="X21" i="19"/>
  <c r="U21" i="19"/>
  <c r="R21" i="19"/>
  <c r="O21" i="19"/>
  <c r="L21" i="19"/>
  <c r="I21" i="19"/>
  <c r="F21" i="19"/>
  <c r="C21" i="19"/>
  <c r="BD17" i="19"/>
  <c r="BC17" i="19"/>
  <c r="BA17" i="19"/>
  <c r="AZ17" i="19"/>
  <c r="AX17" i="19"/>
  <c r="AW17" i="19"/>
  <c r="AU17" i="19"/>
  <c r="AT17" i="19"/>
  <c r="AR17" i="19"/>
  <c r="AQ17" i="19"/>
  <c r="AO17" i="19"/>
  <c r="AN17" i="19"/>
  <c r="AL17" i="19"/>
  <c r="AK17" i="19"/>
  <c r="AI17" i="19"/>
  <c r="AH17" i="19"/>
  <c r="AF17" i="19"/>
  <c r="AE17" i="19"/>
  <c r="AC17" i="19"/>
  <c r="AB17" i="19"/>
  <c r="Z17" i="19"/>
  <c r="Y17" i="19"/>
  <c r="W17" i="19"/>
  <c r="V17" i="19"/>
  <c r="T17" i="19"/>
  <c r="S17" i="19"/>
  <c r="Q17" i="19"/>
  <c r="P17" i="19"/>
  <c r="N17" i="19"/>
  <c r="M17" i="19"/>
  <c r="K17" i="19"/>
  <c r="J17" i="19"/>
  <c r="H17" i="19"/>
  <c r="G17" i="19"/>
  <c r="D17" i="19"/>
  <c r="E17" i="19" s="1"/>
  <c r="BD16" i="19"/>
  <c r="BC16" i="19"/>
  <c r="BA16" i="19"/>
  <c r="AZ16" i="19"/>
  <c r="AX16" i="19"/>
  <c r="AW16" i="19"/>
  <c r="AU16" i="19"/>
  <c r="AT16" i="19"/>
  <c r="AR16" i="19"/>
  <c r="AQ16" i="19"/>
  <c r="AO16" i="19"/>
  <c r="AN16" i="19"/>
  <c r="AL16" i="19"/>
  <c r="AK16" i="19"/>
  <c r="AI16" i="19"/>
  <c r="AH16" i="19"/>
  <c r="AF16" i="19"/>
  <c r="AE16" i="19"/>
  <c r="AC16" i="19"/>
  <c r="AB16" i="19"/>
  <c r="Z16" i="19"/>
  <c r="Y16" i="19"/>
  <c r="W16" i="19"/>
  <c r="V16" i="19"/>
  <c r="T16" i="19"/>
  <c r="S16" i="19"/>
  <c r="Q16" i="19"/>
  <c r="P16" i="19"/>
  <c r="N16" i="19"/>
  <c r="M16" i="19"/>
  <c r="K16" i="19"/>
  <c r="J16" i="19"/>
  <c r="H16" i="19"/>
  <c r="G16" i="19"/>
  <c r="E16" i="19"/>
  <c r="D16" i="19"/>
  <c r="BD15" i="19"/>
  <c r="BC15" i="19"/>
  <c r="BA15" i="19"/>
  <c r="AZ15" i="19"/>
  <c r="AX15" i="19"/>
  <c r="AW15" i="19"/>
  <c r="AU15" i="19"/>
  <c r="AT15" i="19"/>
  <c r="AR15" i="19"/>
  <c r="AQ15" i="19"/>
  <c r="AO15" i="19"/>
  <c r="AN15" i="19"/>
  <c r="AL15" i="19"/>
  <c r="AK15" i="19"/>
  <c r="AI15" i="19"/>
  <c r="AH15" i="19"/>
  <c r="AF15" i="19"/>
  <c r="AE15" i="19"/>
  <c r="AC15" i="19"/>
  <c r="AB15" i="19"/>
  <c r="Z15" i="19"/>
  <c r="Y15" i="19"/>
  <c r="W15" i="19"/>
  <c r="V15" i="19"/>
  <c r="T15" i="19"/>
  <c r="S15" i="19"/>
  <c r="Q15" i="19"/>
  <c r="P15" i="19"/>
  <c r="N15" i="19"/>
  <c r="M15" i="19"/>
  <c r="K15" i="19"/>
  <c r="J15" i="19"/>
  <c r="H15" i="19"/>
  <c r="G15" i="19"/>
  <c r="E15" i="19"/>
  <c r="D15" i="19"/>
  <c r="BD14" i="19"/>
  <c r="BC14" i="19"/>
  <c r="BA14" i="19"/>
  <c r="AZ14" i="19"/>
  <c r="AX14" i="19"/>
  <c r="AW14" i="19"/>
  <c r="AU14" i="19"/>
  <c r="AT14" i="19"/>
  <c r="AR14" i="19"/>
  <c r="AQ14" i="19"/>
  <c r="AO14" i="19"/>
  <c r="AN14" i="19"/>
  <c r="AL14" i="19"/>
  <c r="AK14" i="19"/>
  <c r="AI14" i="19"/>
  <c r="AH14" i="19"/>
  <c r="AF14" i="19"/>
  <c r="AE14" i="19"/>
  <c r="AC14" i="19"/>
  <c r="AB14" i="19"/>
  <c r="Z14" i="19"/>
  <c r="Y14" i="19"/>
  <c r="W14" i="19"/>
  <c r="V14" i="19"/>
  <c r="T14" i="19"/>
  <c r="S14" i="19"/>
  <c r="Q14" i="19"/>
  <c r="P14" i="19"/>
  <c r="N14" i="19"/>
  <c r="M14" i="19"/>
  <c r="K14" i="19"/>
  <c r="J14" i="19"/>
  <c r="H14" i="19"/>
  <c r="G14" i="19"/>
  <c r="E14" i="19"/>
  <c r="D14" i="19"/>
  <c r="BD13" i="19"/>
  <c r="BC13" i="19"/>
  <c r="BA13" i="19"/>
  <c r="AZ13" i="19"/>
  <c r="AX13" i="19"/>
  <c r="AW13" i="19"/>
  <c r="AU13" i="19"/>
  <c r="AT13" i="19"/>
  <c r="AR13" i="19"/>
  <c r="AQ13" i="19"/>
  <c r="AO13" i="19"/>
  <c r="AN13" i="19"/>
  <c r="AL13" i="19"/>
  <c r="AK13" i="19"/>
  <c r="AI13" i="19"/>
  <c r="AH13" i="19"/>
  <c r="AF13" i="19"/>
  <c r="AE13" i="19"/>
  <c r="AC13" i="19"/>
  <c r="AB13" i="19"/>
  <c r="Z13" i="19"/>
  <c r="Y13" i="19"/>
  <c r="W13" i="19"/>
  <c r="V13" i="19"/>
  <c r="T13" i="19"/>
  <c r="S13" i="19"/>
  <c r="Q13" i="19"/>
  <c r="P13" i="19"/>
  <c r="N13" i="19"/>
  <c r="M13" i="19"/>
  <c r="K13" i="19"/>
  <c r="J13" i="19"/>
  <c r="H13" i="19"/>
  <c r="G13" i="19"/>
  <c r="E13" i="19"/>
  <c r="D13" i="19"/>
  <c r="BD12" i="19"/>
  <c r="BC12" i="19"/>
  <c r="BA12" i="19"/>
  <c r="AZ12" i="19"/>
  <c r="AX12" i="19"/>
  <c r="AW12" i="19"/>
  <c r="AU12" i="19"/>
  <c r="AT12" i="19"/>
  <c r="AR12" i="19"/>
  <c r="AQ12" i="19"/>
  <c r="AO12" i="19"/>
  <c r="AN12" i="19"/>
  <c r="AL12" i="19"/>
  <c r="AK12" i="19"/>
  <c r="AI12" i="19"/>
  <c r="AH12" i="19"/>
  <c r="AF12" i="19"/>
  <c r="AE12" i="19"/>
  <c r="AC12" i="19"/>
  <c r="AB12" i="19"/>
  <c r="Z12" i="19"/>
  <c r="Y12" i="19"/>
  <c r="W12" i="19"/>
  <c r="V12" i="19"/>
  <c r="T12" i="19"/>
  <c r="S12" i="19"/>
  <c r="Q12" i="19"/>
  <c r="P12" i="19"/>
  <c r="N12" i="19"/>
  <c r="M12" i="19"/>
  <c r="K12" i="19"/>
  <c r="J12" i="19"/>
  <c r="H12" i="19"/>
  <c r="G12" i="19"/>
  <c r="E12" i="19"/>
  <c r="D12" i="19"/>
  <c r="BD11" i="19"/>
  <c r="BC11" i="19"/>
  <c r="BA11" i="19"/>
  <c r="AZ11" i="19"/>
  <c r="AX11" i="19"/>
  <c r="AW11" i="19"/>
  <c r="AU11" i="19"/>
  <c r="AT11" i="19"/>
  <c r="AR11" i="19"/>
  <c r="AQ11" i="19"/>
  <c r="AO11" i="19"/>
  <c r="AN11" i="19"/>
  <c r="AL11" i="19"/>
  <c r="AK11" i="19"/>
  <c r="AI11" i="19"/>
  <c r="AH11" i="19"/>
  <c r="AF11" i="19"/>
  <c r="AE11" i="19"/>
  <c r="AC11" i="19"/>
  <c r="AB11" i="19"/>
  <c r="Z11" i="19"/>
  <c r="Y11" i="19"/>
  <c r="W11" i="19"/>
  <c r="V11" i="19"/>
  <c r="T11" i="19"/>
  <c r="S11" i="19"/>
  <c r="Q11" i="19"/>
  <c r="P11" i="19"/>
  <c r="N11" i="19"/>
  <c r="M11" i="19"/>
  <c r="K11" i="19"/>
  <c r="J11" i="19"/>
  <c r="H11" i="19"/>
  <c r="G11" i="19"/>
  <c r="D11" i="19"/>
  <c r="E11" i="19" s="1"/>
  <c r="BD10" i="19"/>
  <c r="BC10" i="19"/>
  <c r="BA10" i="19"/>
  <c r="AZ10" i="19"/>
  <c r="AW10" i="19"/>
  <c r="AX10" i="19" s="1"/>
  <c r="AT10" i="19"/>
  <c r="AU10" i="19" s="1"/>
  <c r="AQ10" i="19"/>
  <c r="AR10" i="19" s="1"/>
  <c r="AN10" i="19"/>
  <c r="AO10" i="19" s="1"/>
  <c r="AK10" i="19"/>
  <c r="AL10" i="19" s="1"/>
  <c r="AH10" i="19"/>
  <c r="AE10" i="19"/>
  <c r="AB10" i="19"/>
  <c r="AC10" i="19" s="1"/>
  <c r="Z10" i="19"/>
  <c r="Y10" i="19"/>
  <c r="V10" i="19"/>
  <c r="W10" i="19" s="1"/>
  <c r="T10" i="19"/>
  <c r="S10" i="19"/>
  <c r="Q10" i="19"/>
  <c r="P10" i="19"/>
  <c r="M10" i="19"/>
  <c r="N10" i="19" s="1"/>
  <c r="K10" i="19"/>
  <c r="J10" i="19"/>
  <c r="G10" i="19"/>
  <c r="H10" i="19" s="1"/>
  <c r="D10" i="19"/>
  <c r="E10" i="19" s="1"/>
  <c r="BC9" i="19"/>
  <c r="BD9" i="19" s="1"/>
  <c r="AZ9" i="19"/>
  <c r="BA9" i="19" s="1"/>
  <c r="AX9" i="19"/>
  <c r="AW9" i="19"/>
  <c r="AU9" i="19"/>
  <c r="AT9" i="19"/>
  <c r="AQ9" i="19"/>
  <c r="AR9" i="19" s="1"/>
  <c r="AN9" i="19"/>
  <c r="AO9" i="19" s="1"/>
  <c r="AL9" i="19"/>
  <c r="AK9" i="19"/>
  <c r="AH9" i="19"/>
  <c r="AE9" i="19"/>
  <c r="AF9" i="19" s="1"/>
  <c r="AC9" i="19"/>
  <c r="AB9" i="19"/>
  <c r="Z9" i="19"/>
  <c r="Y9" i="19"/>
  <c r="W9" i="19"/>
  <c r="V9" i="19"/>
  <c r="S9" i="19"/>
  <c r="T9" i="19" s="1"/>
  <c r="Q9" i="19"/>
  <c r="P9" i="19"/>
  <c r="N9" i="19"/>
  <c r="M9" i="19"/>
  <c r="K9" i="19"/>
  <c r="J9" i="19"/>
  <c r="G9" i="19"/>
  <c r="H9" i="19" s="1"/>
  <c r="D9" i="19"/>
  <c r="E9" i="19" s="1"/>
  <c r="BD8" i="19"/>
  <c r="BC8" i="19"/>
  <c r="AZ8" i="19"/>
  <c r="BA8" i="19" s="1"/>
  <c r="AW8" i="19"/>
  <c r="AX8" i="19" s="1"/>
  <c r="AT8" i="19"/>
  <c r="AU8" i="19" s="1"/>
  <c r="AQ8" i="19"/>
  <c r="AR8" i="19" s="1"/>
  <c r="AN8" i="19"/>
  <c r="AO8" i="19" s="1"/>
  <c r="AK8" i="19"/>
  <c r="AL8" i="19" s="1"/>
  <c r="AH8" i="19"/>
  <c r="AI8" i="19" s="1"/>
  <c r="AE8" i="19"/>
  <c r="AF8" i="19" s="1"/>
  <c r="AB8" i="19"/>
  <c r="AC8" i="19" s="1"/>
  <c r="Z8" i="19"/>
  <c r="Y8" i="19"/>
  <c r="W8" i="19"/>
  <c r="V8" i="19"/>
  <c r="S8" i="19"/>
  <c r="T8" i="19" s="1"/>
  <c r="Q8" i="19"/>
  <c r="P8" i="19"/>
  <c r="N8" i="19"/>
  <c r="M8" i="19"/>
  <c r="J8" i="19"/>
  <c r="K8" i="19" s="1"/>
  <c r="H8" i="19"/>
  <c r="G8" i="19"/>
  <c r="D8" i="19"/>
  <c r="E8" i="19" s="1"/>
  <c r="BC7" i="19"/>
  <c r="BD7" i="19" s="1"/>
  <c r="AZ7" i="19"/>
  <c r="BA7" i="19" s="1"/>
  <c r="AX7" i="19"/>
  <c r="AW7" i="19"/>
  <c r="AT7" i="19"/>
  <c r="AU7" i="19" s="1"/>
  <c r="AR7" i="19"/>
  <c r="AQ7" i="19"/>
  <c r="AO7" i="19"/>
  <c r="AN7" i="19"/>
  <c r="AK7" i="19"/>
  <c r="AL7" i="19" s="1"/>
  <c r="AH7" i="19"/>
  <c r="AE7" i="19"/>
  <c r="AF7" i="19" s="1"/>
  <c r="AB7" i="19"/>
  <c r="Z7" i="19"/>
  <c r="Y7" i="19"/>
  <c r="V7" i="19"/>
  <c r="W7" i="19" s="1"/>
  <c r="T7" i="19"/>
  <c r="S7" i="19"/>
  <c r="Q7" i="19"/>
  <c r="P7" i="19"/>
  <c r="N7" i="19"/>
  <c r="M7" i="19"/>
  <c r="J7" i="19"/>
  <c r="K7" i="19" s="1"/>
  <c r="H7" i="19"/>
  <c r="G7" i="19"/>
  <c r="D7" i="19"/>
  <c r="E7" i="19" s="1"/>
  <c r="BC6" i="19"/>
  <c r="BD6" i="19" s="1"/>
  <c r="AZ6" i="19"/>
  <c r="BA6" i="19" s="1"/>
  <c r="AW6" i="19"/>
  <c r="AX6" i="19" s="1"/>
  <c r="AU6" i="19"/>
  <c r="AT6" i="19"/>
  <c r="AQ6" i="19"/>
  <c r="AR6" i="19" s="1"/>
  <c r="AN6" i="19"/>
  <c r="AO6" i="19" s="1"/>
  <c r="AL6" i="19"/>
  <c r="AK6" i="19"/>
  <c r="AH6" i="19"/>
  <c r="AI6" i="19" s="1"/>
  <c r="AE6" i="19"/>
  <c r="AF6" i="19" s="1"/>
  <c r="AC6" i="19"/>
  <c r="AB6" i="19"/>
  <c r="Z6" i="19"/>
  <c r="Y6" i="19"/>
  <c r="V6" i="19"/>
  <c r="W6" i="19" s="1"/>
  <c r="T6" i="19"/>
  <c r="S6" i="19"/>
  <c r="P6" i="19"/>
  <c r="Q6" i="19" s="1"/>
  <c r="N6" i="19"/>
  <c r="M6" i="19"/>
  <c r="K6" i="19"/>
  <c r="J6" i="19"/>
  <c r="G6" i="19"/>
  <c r="H6" i="19" s="1"/>
  <c r="D6" i="19"/>
  <c r="E6" i="19" s="1"/>
  <c r="BC5" i="19"/>
  <c r="BD5" i="19" s="1"/>
  <c r="BA5" i="19"/>
  <c r="AZ5" i="19"/>
  <c r="AX5" i="19"/>
  <c r="AW5" i="19"/>
  <c r="AT5" i="19"/>
  <c r="AR5" i="19"/>
  <c r="AU5" i="19" s="1"/>
  <c r="AQ5" i="19"/>
  <c r="AN5" i="19"/>
  <c r="AO5" i="19" s="1"/>
  <c r="AL5" i="19"/>
  <c r="AK5" i="19"/>
  <c r="AI5" i="19"/>
  <c r="AH5" i="19"/>
  <c r="AE5" i="19"/>
  <c r="AC5" i="19"/>
  <c r="AB5" i="19"/>
  <c r="Y5" i="19"/>
  <c r="Z5" i="19" s="1"/>
  <c r="V5" i="19"/>
  <c r="W5" i="19" s="1"/>
  <c r="T5" i="19"/>
  <c r="S5" i="19"/>
  <c r="P5" i="19"/>
  <c r="Q5" i="19" s="1"/>
  <c r="M5" i="19"/>
  <c r="N5" i="19" s="1"/>
  <c r="K5" i="19"/>
  <c r="J5" i="19"/>
  <c r="H5" i="19"/>
  <c r="G5" i="19"/>
  <c r="D5" i="19"/>
  <c r="E5" i="19" s="1"/>
  <c r="BC4" i="19"/>
  <c r="BD4" i="19" s="1"/>
  <c r="BA4" i="19"/>
  <c r="AZ4" i="19"/>
  <c r="AX4" i="19"/>
  <c r="AW4" i="19"/>
  <c r="AU4" i="19"/>
  <c r="AT4" i="19"/>
  <c r="AQ4" i="19"/>
  <c r="AR4" i="19" s="1"/>
  <c r="AO4" i="19"/>
  <c r="AN4" i="19"/>
  <c r="AK4" i="19"/>
  <c r="AL4" i="19" s="1"/>
  <c r="AH4" i="19"/>
  <c r="AI4" i="19" s="1"/>
  <c r="AE4" i="19"/>
  <c r="AF4" i="19" s="1"/>
  <c r="AB4" i="19"/>
  <c r="AC4" i="19" s="1"/>
  <c r="Y4" i="19"/>
  <c r="Z4" i="19" s="1"/>
  <c r="W4" i="19"/>
  <c r="V4" i="19"/>
  <c r="T4" i="19"/>
  <c r="S4" i="19"/>
  <c r="Q4" i="19"/>
  <c r="P4" i="19"/>
  <c r="N4" i="19"/>
  <c r="M4" i="19"/>
  <c r="K4" i="19"/>
  <c r="J4" i="19"/>
  <c r="H4" i="19"/>
  <c r="G4" i="19"/>
  <c r="D4" i="19"/>
  <c r="E4" i="19" s="1"/>
  <c r="F3" i="19"/>
  <c r="I3" i="19" s="1"/>
  <c r="L3" i="19" s="1"/>
  <c r="O3" i="19" s="1"/>
  <c r="R3" i="19" s="1"/>
  <c r="U3" i="19" s="1"/>
  <c r="X3" i="19" s="1"/>
  <c r="AA3" i="19" s="1"/>
  <c r="AD3" i="19" s="1"/>
  <c r="AG3" i="19" s="1"/>
  <c r="AJ3" i="19" s="1"/>
  <c r="AM3" i="19" s="1"/>
  <c r="AP3" i="19" s="1"/>
  <c r="AS3" i="19" s="1"/>
  <c r="AV3" i="19" s="1"/>
  <c r="AY3" i="19" s="1"/>
  <c r="BB3" i="19" s="1"/>
  <c r="F2" i="19"/>
  <c r="I2" i="19" s="1"/>
  <c r="L2" i="19" s="1"/>
  <c r="O2" i="19" s="1"/>
  <c r="R2" i="19" s="1"/>
  <c r="U2" i="19" s="1"/>
  <c r="X2" i="19" s="1"/>
  <c r="AA2" i="19" s="1"/>
  <c r="AD2" i="19" s="1"/>
  <c r="AG2" i="19" s="1"/>
  <c r="AJ2" i="19" s="1"/>
  <c r="AM2" i="19" s="1"/>
  <c r="AP2" i="19" s="1"/>
  <c r="AS2" i="19" s="1"/>
  <c r="AV2" i="19" s="1"/>
  <c r="AY2" i="19" s="1"/>
  <c r="BB2" i="19" s="1"/>
  <c r="F1" i="19"/>
  <c r="I1" i="19" s="1"/>
  <c r="L1" i="19" s="1"/>
  <c r="O1" i="19" s="1"/>
  <c r="R1" i="19" s="1"/>
  <c r="U1" i="19" s="1"/>
  <c r="X1" i="19" s="1"/>
  <c r="AA1" i="19" s="1"/>
  <c r="AD1" i="19" s="1"/>
  <c r="AG1" i="19" s="1"/>
  <c r="AJ1" i="19" s="1"/>
  <c r="AM1" i="19" s="1"/>
  <c r="AP1" i="19" s="1"/>
  <c r="AS1" i="19" s="1"/>
  <c r="AV1" i="19" s="1"/>
  <c r="AY1" i="19" s="1"/>
  <c r="BB1" i="19" s="1"/>
  <c r="AT9" i="17"/>
  <c r="AU9" i="17" s="1"/>
  <c r="AT8" i="17"/>
  <c r="AT7" i="17"/>
  <c r="BC10" i="17"/>
  <c r="BD10" i="17" s="1"/>
  <c r="AZ10" i="17"/>
  <c r="BA10" i="17" s="1"/>
  <c r="AX10" i="17"/>
  <c r="AW10" i="17"/>
  <c r="AU10" i="17"/>
  <c r="AT10" i="17"/>
  <c r="AR10" i="17"/>
  <c r="AQ10" i="17"/>
  <c r="AO10" i="17"/>
  <c r="AN10" i="17"/>
  <c r="AK10" i="17"/>
  <c r="AL10" i="17" s="1"/>
  <c r="AH10" i="17"/>
  <c r="AI10" i="17" s="1"/>
  <c r="AE10" i="17"/>
  <c r="AF10" i="17" s="1"/>
  <c r="AB10" i="17"/>
  <c r="AC10" i="17" s="1"/>
  <c r="Z10" i="17"/>
  <c r="Y10" i="17"/>
  <c r="V10" i="17"/>
  <c r="W10" i="17" s="1"/>
  <c r="T10" i="17"/>
  <c r="S10" i="17"/>
  <c r="Q10" i="17"/>
  <c r="P10" i="17"/>
  <c r="N10" i="17"/>
  <c r="M10" i="17"/>
  <c r="J10" i="17"/>
  <c r="K10" i="17" s="1"/>
  <c r="G10" i="17"/>
  <c r="H10" i="17" s="1"/>
  <c r="D10" i="17"/>
  <c r="E10" i="17" s="1"/>
  <c r="BB14" i="17"/>
  <c r="AY14" i="17"/>
  <c r="AV14" i="17"/>
  <c r="AS14" i="17"/>
  <c r="AP14" i="17"/>
  <c r="AM14" i="17"/>
  <c r="AJ14" i="17"/>
  <c r="AG14" i="17"/>
  <c r="AD14" i="17"/>
  <c r="AA14" i="17"/>
  <c r="X14" i="17"/>
  <c r="U14" i="17"/>
  <c r="R14" i="17"/>
  <c r="O14" i="17"/>
  <c r="L14" i="17"/>
  <c r="I14" i="17"/>
  <c r="F14" i="17"/>
  <c r="C14" i="17"/>
  <c r="BC9" i="17"/>
  <c r="BD9" i="17" s="1"/>
  <c r="BA9" i="17"/>
  <c r="AZ9" i="17"/>
  <c r="AX9" i="17"/>
  <c r="AW9" i="17"/>
  <c r="AQ9" i="17"/>
  <c r="AR9" i="17" s="1"/>
  <c r="AN9" i="17"/>
  <c r="AO9" i="17" s="1"/>
  <c r="AL9" i="17"/>
  <c r="AK9" i="17"/>
  <c r="AI9" i="17"/>
  <c r="AH9" i="17"/>
  <c r="AF9" i="17"/>
  <c r="AE9" i="17"/>
  <c r="AB9" i="17"/>
  <c r="AC9" i="17" s="1"/>
  <c r="Y9" i="17"/>
  <c r="Z9" i="17" s="1"/>
  <c r="V9" i="17"/>
  <c r="W9" i="17" s="1"/>
  <c r="T9" i="17"/>
  <c r="S9" i="17"/>
  <c r="Q9" i="17"/>
  <c r="P9" i="17"/>
  <c r="N9" i="17"/>
  <c r="M9" i="17"/>
  <c r="K9" i="17"/>
  <c r="J9" i="17"/>
  <c r="G9" i="17"/>
  <c r="H9" i="17" s="1"/>
  <c r="D9" i="17"/>
  <c r="E9" i="17" s="1"/>
  <c r="BC8" i="17"/>
  <c r="BD8" i="17" s="1"/>
  <c r="AZ8" i="17"/>
  <c r="BA8" i="17" s="1"/>
  <c r="AX8" i="17"/>
  <c r="AW8" i="17"/>
  <c r="AU8" i="17"/>
  <c r="AR8" i="17"/>
  <c r="AQ8" i="17"/>
  <c r="AN8" i="17"/>
  <c r="AO8" i="17" s="1"/>
  <c r="AK8" i="17"/>
  <c r="AL8" i="17" s="1"/>
  <c r="AI8" i="17"/>
  <c r="AH8" i="17"/>
  <c r="AF8" i="17"/>
  <c r="AE8" i="17"/>
  <c r="AB8" i="17"/>
  <c r="AC8" i="17" s="1"/>
  <c r="Y8" i="17"/>
  <c r="Z8" i="17" s="1"/>
  <c r="V8" i="17"/>
  <c r="W8" i="17" s="1"/>
  <c r="T8" i="17"/>
  <c r="S8" i="17"/>
  <c r="Q8" i="17"/>
  <c r="P8" i="17"/>
  <c r="N8" i="17"/>
  <c r="M8" i="17"/>
  <c r="J8" i="17"/>
  <c r="K8" i="17" s="1"/>
  <c r="G8" i="17"/>
  <c r="H8" i="17" s="1"/>
  <c r="D8" i="17"/>
  <c r="E8" i="17" s="1"/>
  <c r="BC7" i="17"/>
  <c r="BD7" i="17" s="1"/>
  <c r="BA7" i="17"/>
  <c r="AZ7" i="17"/>
  <c r="AW7" i="17"/>
  <c r="AX7" i="17" s="1"/>
  <c r="AU7" i="17"/>
  <c r="AR7" i="17"/>
  <c r="AQ7" i="17"/>
  <c r="AO7" i="17"/>
  <c r="AN7" i="17"/>
  <c r="AL7" i="17"/>
  <c r="AK7" i="17"/>
  <c r="AH7" i="17"/>
  <c r="AI7" i="17" s="1"/>
  <c r="AF7" i="17"/>
  <c r="AE7" i="17"/>
  <c r="AC7" i="17"/>
  <c r="AB7" i="17"/>
  <c r="Y7" i="17"/>
  <c r="Z7" i="17" s="1"/>
  <c r="V7" i="17"/>
  <c r="W7" i="17" s="1"/>
  <c r="T7" i="17"/>
  <c r="S7" i="17"/>
  <c r="Q7" i="17"/>
  <c r="P7" i="17"/>
  <c r="M7" i="17"/>
  <c r="N7" i="17" s="1"/>
  <c r="K7" i="17"/>
  <c r="J7" i="17"/>
  <c r="G7" i="17"/>
  <c r="H7" i="17" s="1"/>
  <c r="D7" i="17"/>
  <c r="E7" i="17" s="1"/>
  <c r="BC6" i="17"/>
  <c r="BD6" i="17" s="1"/>
  <c r="AZ6" i="17"/>
  <c r="AW6" i="17"/>
  <c r="AX6" i="17" s="1"/>
  <c r="BA6" i="17" s="1"/>
  <c r="AU6" i="17"/>
  <c r="AT6" i="17"/>
  <c r="AQ6" i="17"/>
  <c r="AR6" i="17" s="1"/>
  <c r="AN6" i="17"/>
  <c r="AO6" i="17" s="1"/>
  <c r="AK6" i="17"/>
  <c r="AL6" i="17" s="1"/>
  <c r="AI6" i="17"/>
  <c r="AH6" i="17"/>
  <c r="AF6" i="17"/>
  <c r="AE6" i="17"/>
  <c r="AC6" i="17"/>
  <c r="AB6" i="17"/>
  <c r="Y6" i="17"/>
  <c r="Z6" i="17" s="1"/>
  <c r="W6" i="17"/>
  <c r="V6" i="17"/>
  <c r="T6" i="17"/>
  <c r="S6" i="17"/>
  <c r="Q6" i="17"/>
  <c r="P6" i="17"/>
  <c r="M6" i="17"/>
  <c r="N6" i="17" s="1"/>
  <c r="K6" i="17"/>
  <c r="J6" i="17"/>
  <c r="G6" i="17"/>
  <c r="H6" i="17" s="1"/>
  <c r="D6" i="17"/>
  <c r="E6" i="17" s="1"/>
  <c r="BC5" i="17"/>
  <c r="BD5" i="17" s="1"/>
  <c r="BA5" i="17"/>
  <c r="AZ5" i="17"/>
  <c r="AW5" i="17"/>
  <c r="AT5" i="17"/>
  <c r="AQ5" i="17"/>
  <c r="AN5" i="17"/>
  <c r="AK5" i="17"/>
  <c r="AH5" i="17"/>
  <c r="AE5" i="17"/>
  <c r="AB5" i="17"/>
  <c r="Z5" i="17"/>
  <c r="AC5" i="17" s="1"/>
  <c r="Y5" i="17"/>
  <c r="V5" i="17"/>
  <c r="W5" i="17" s="1"/>
  <c r="S5" i="17"/>
  <c r="T5" i="17" s="1"/>
  <c r="P5" i="17"/>
  <c r="Q5" i="17" s="1"/>
  <c r="M5" i="17"/>
  <c r="N5" i="17" s="1"/>
  <c r="J5" i="17"/>
  <c r="K5" i="17" s="1"/>
  <c r="G5" i="17"/>
  <c r="H5" i="17" s="1"/>
  <c r="D5" i="17"/>
  <c r="E5" i="17" s="1"/>
  <c r="BD4" i="17"/>
  <c r="BC4" i="17"/>
  <c r="AZ4" i="17"/>
  <c r="BA4" i="17" s="1"/>
  <c r="AX4" i="17"/>
  <c r="AW4" i="17"/>
  <c r="AU4" i="17"/>
  <c r="AT4" i="17"/>
  <c r="AQ4" i="17"/>
  <c r="AR4" i="17" s="1"/>
  <c r="AN4" i="17"/>
  <c r="AO4" i="17" s="1"/>
  <c r="AK4" i="17"/>
  <c r="AL4" i="17" s="1"/>
  <c r="AI4" i="17"/>
  <c r="AH4" i="17"/>
  <c r="AE4" i="17"/>
  <c r="AF4" i="17" s="1"/>
  <c r="AB4" i="17"/>
  <c r="AC4" i="17" s="1"/>
  <c r="Y4" i="17"/>
  <c r="Z4" i="17" s="1"/>
  <c r="V4" i="17"/>
  <c r="W4" i="17" s="1"/>
  <c r="T4" i="17"/>
  <c r="S4" i="17"/>
  <c r="P4" i="17"/>
  <c r="Q4" i="17" s="1"/>
  <c r="M4" i="17"/>
  <c r="N4" i="17" s="1"/>
  <c r="K4" i="17"/>
  <c r="J4" i="17"/>
  <c r="H4" i="17"/>
  <c r="G4" i="17"/>
  <c r="D4" i="17"/>
  <c r="E4" i="17" s="1"/>
  <c r="F3" i="17"/>
  <c r="I3" i="17" s="1"/>
  <c r="L3" i="17" s="1"/>
  <c r="O3" i="17" s="1"/>
  <c r="R3" i="17" s="1"/>
  <c r="U3" i="17" s="1"/>
  <c r="X3" i="17" s="1"/>
  <c r="AA3" i="17" s="1"/>
  <c r="AD3" i="17" s="1"/>
  <c r="AG3" i="17" s="1"/>
  <c r="AJ3" i="17" s="1"/>
  <c r="AM3" i="17" s="1"/>
  <c r="AP3" i="17" s="1"/>
  <c r="AS3" i="17" s="1"/>
  <c r="AV3" i="17" s="1"/>
  <c r="AY3" i="17" s="1"/>
  <c r="BB3" i="17" s="1"/>
  <c r="F2" i="17"/>
  <c r="I2" i="17" s="1"/>
  <c r="L2" i="17" s="1"/>
  <c r="O2" i="17" s="1"/>
  <c r="R2" i="17" s="1"/>
  <c r="U2" i="17" s="1"/>
  <c r="X2" i="17" s="1"/>
  <c r="AA2" i="17" s="1"/>
  <c r="AD2" i="17" s="1"/>
  <c r="AG2" i="17" s="1"/>
  <c r="AJ2" i="17" s="1"/>
  <c r="AM2" i="17" s="1"/>
  <c r="AP2" i="17" s="1"/>
  <c r="AS2" i="17" s="1"/>
  <c r="AV2" i="17" s="1"/>
  <c r="AY2" i="17" s="1"/>
  <c r="BB2" i="17" s="1"/>
  <c r="F1" i="17"/>
  <c r="I1" i="17" s="1"/>
  <c r="L1" i="17" s="1"/>
  <c r="O1" i="17" s="1"/>
  <c r="R1" i="17" s="1"/>
  <c r="U1" i="17" s="1"/>
  <c r="X1" i="17" s="1"/>
  <c r="AA1" i="17" s="1"/>
  <c r="AD1" i="17" s="1"/>
  <c r="AG1" i="17" s="1"/>
  <c r="AJ1" i="17" s="1"/>
  <c r="AM1" i="17" s="1"/>
  <c r="AP1" i="17" s="1"/>
  <c r="AS1" i="17" s="1"/>
  <c r="AV1" i="17" s="1"/>
  <c r="AY1" i="17" s="1"/>
  <c r="BB1" i="17" s="1"/>
  <c r="BB13" i="15"/>
  <c r="AY13" i="15"/>
  <c r="AV13" i="15"/>
  <c r="AS13" i="15"/>
  <c r="AP13" i="15"/>
  <c r="AM13" i="15"/>
  <c r="AJ13" i="15"/>
  <c r="AG13" i="15"/>
  <c r="AD13" i="15"/>
  <c r="AA13" i="15"/>
  <c r="X13" i="15"/>
  <c r="U13" i="15"/>
  <c r="R13" i="15"/>
  <c r="O13" i="15"/>
  <c r="L13" i="15"/>
  <c r="I13" i="15"/>
  <c r="F13" i="15"/>
  <c r="C13" i="15"/>
  <c r="BC9" i="15"/>
  <c r="BD9" i="15" s="1"/>
  <c r="AZ9" i="15"/>
  <c r="BA9" i="15" s="1"/>
  <c r="AW9" i="15"/>
  <c r="AX9" i="15" s="1"/>
  <c r="AT9" i="15"/>
  <c r="AU9" i="15" s="1"/>
  <c r="AR9" i="15"/>
  <c r="AQ9" i="15"/>
  <c r="AN9" i="15"/>
  <c r="AO9" i="15" s="1"/>
  <c r="AK9" i="15"/>
  <c r="AL9" i="15" s="1"/>
  <c r="AH9" i="15"/>
  <c r="AI9" i="15" s="1"/>
  <c r="AF9" i="15"/>
  <c r="AE9" i="15"/>
  <c r="AC9" i="15"/>
  <c r="AB9" i="15"/>
  <c r="Z9" i="15"/>
  <c r="Y9" i="15"/>
  <c r="W9" i="15"/>
  <c r="V9" i="15"/>
  <c r="S9" i="15"/>
  <c r="T9" i="15" s="1"/>
  <c r="P9" i="15"/>
  <c r="Q9" i="15" s="1"/>
  <c r="M9" i="15"/>
  <c r="N9" i="15" s="1"/>
  <c r="J9" i="15"/>
  <c r="K9" i="15" s="1"/>
  <c r="G9" i="15"/>
  <c r="H9" i="15" s="1"/>
  <c r="D9" i="15"/>
  <c r="E9" i="15" s="1"/>
  <c r="BC8" i="15"/>
  <c r="BD8" i="15" s="1"/>
  <c r="AZ8" i="15"/>
  <c r="BA8" i="15" s="1"/>
  <c r="AX8" i="15"/>
  <c r="AW8" i="15"/>
  <c r="AU8" i="15"/>
  <c r="AT8" i="15"/>
  <c r="AR8" i="15"/>
  <c r="AQ8" i="15"/>
  <c r="AO8" i="15"/>
  <c r="AN8" i="15"/>
  <c r="AK8" i="15"/>
  <c r="AL8" i="15" s="1"/>
  <c r="AH8" i="15"/>
  <c r="AI8" i="15" s="1"/>
  <c r="AE8" i="15"/>
  <c r="AF8" i="15" s="1"/>
  <c r="AB8" i="15"/>
  <c r="AC8" i="15" s="1"/>
  <c r="Z8" i="15"/>
  <c r="Y8" i="15"/>
  <c r="W8" i="15"/>
  <c r="V8" i="15"/>
  <c r="S8" i="15"/>
  <c r="T8" i="15" s="1"/>
  <c r="P8" i="15"/>
  <c r="Q8" i="15" s="1"/>
  <c r="N8" i="15"/>
  <c r="M8" i="15"/>
  <c r="J8" i="15"/>
  <c r="K8" i="15" s="1"/>
  <c r="G8" i="15"/>
  <c r="H8" i="15" s="1"/>
  <c r="D8" i="15"/>
  <c r="E8" i="15" s="1"/>
  <c r="BC7" i="15"/>
  <c r="BD7" i="15" s="1"/>
  <c r="AZ7" i="15"/>
  <c r="BA7" i="15" s="1"/>
  <c r="AX7" i="15"/>
  <c r="AW7" i="15"/>
  <c r="AT7" i="15"/>
  <c r="AU7" i="15" s="1"/>
  <c r="AQ7" i="15"/>
  <c r="AR7" i="15" s="1"/>
  <c r="AO7" i="15"/>
  <c r="AN7" i="15"/>
  <c r="AK7" i="15"/>
  <c r="AL7" i="15" s="1"/>
  <c r="AI7" i="15"/>
  <c r="AH7" i="15"/>
  <c r="AF7" i="15"/>
  <c r="AE7" i="15"/>
  <c r="AB7" i="15"/>
  <c r="AC7" i="15" s="1"/>
  <c r="Z7" i="15"/>
  <c r="Y7" i="15"/>
  <c r="V7" i="15"/>
  <c r="W7" i="15" s="1"/>
  <c r="S7" i="15"/>
  <c r="T7" i="15" s="1"/>
  <c r="P7" i="15"/>
  <c r="Q7" i="15" s="1"/>
  <c r="M7" i="15"/>
  <c r="N7" i="15" s="1"/>
  <c r="J7" i="15"/>
  <c r="K7" i="15" s="1"/>
  <c r="G7" i="15"/>
  <c r="H7" i="15" s="1"/>
  <c r="D7" i="15"/>
  <c r="E7" i="15" s="1"/>
  <c r="BC6" i="15"/>
  <c r="BD6" i="15" s="1"/>
  <c r="BA6" i="15"/>
  <c r="AZ6" i="15"/>
  <c r="AW6" i="15"/>
  <c r="AX6" i="15" s="1"/>
  <c r="AT6" i="15"/>
  <c r="AU6" i="15" s="1"/>
  <c r="AQ6" i="15"/>
  <c r="AR6" i="15" s="1"/>
  <c r="AO6" i="15"/>
  <c r="AN6" i="15"/>
  <c r="AK6" i="15"/>
  <c r="AL6" i="15" s="1"/>
  <c r="AI6" i="15"/>
  <c r="AH6" i="15"/>
  <c r="AE6" i="15"/>
  <c r="AB6" i="15"/>
  <c r="Z6" i="15"/>
  <c r="AC6" i="15" s="1"/>
  <c r="AF6" i="15" s="1"/>
  <c r="Y6" i="15"/>
  <c r="V6" i="15"/>
  <c r="W6" i="15" s="1"/>
  <c r="S6" i="15"/>
  <c r="T6" i="15" s="1"/>
  <c r="P6" i="15"/>
  <c r="Q6" i="15" s="1"/>
  <c r="N6" i="15"/>
  <c r="M6" i="15"/>
  <c r="J6" i="15"/>
  <c r="K6" i="15" s="1"/>
  <c r="G6" i="15"/>
  <c r="H6" i="15" s="1"/>
  <c r="D6" i="15"/>
  <c r="E6" i="15" s="1"/>
  <c r="BC5" i="15"/>
  <c r="BD5" i="15" s="1"/>
  <c r="BA5" i="15"/>
  <c r="AZ5" i="15"/>
  <c r="AW5" i="15"/>
  <c r="AX5" i="15" s="1"/>
  <c r="AT5" i="15"/>
  <c r="AU5" i="15" s="1"/>
  <c r="AR5" i="15"/>
  <c r="AQ5" i="15"/>
  <c r="AO5" i="15"/>
  <c r="AN5" i="15"/>
  <c r="AL5" i="15"/>
  <c r="AK5" i="15"/>
  <c r="AI5" i="15"/>
  <c r="AH5" i="15"/>
  <c r="AF5" i="15"/>
  <c r="AE5" i="15"/>
  <c r="AB5" i="15"/>
  <c r="Y5" i="15"/>
  <c r="Z5" i="15" s="1"/>
  <c r="AC5" i="15" s="1"/>
  <c r="V5" i="15"/>
  <c r="W5" i="15" s="1"/>
  <c r="S5" i="15"/>
  <c r="T5" i="15" s="1"/>
  <c r="P5" i="15"/>
  <c r="Q5" i="15" s="1"/>
  <c r="M5" i="15"/>
  <c r="N5" i="15" s="1"/>
  <c r="J5" i="15"/>
  <c r="K5" i="15" s="1"/>
  <c r="G5" i="15"/>
  <c r="H5" i="15" s="1"/>
  <c r="D5" i="15"/>
  <c r="E5" i="15" s="1"/>
  <c r="BD4" i="15"/>
  <c r="BC4" i="15"/>
  <c r="BA4" i="15"/>
  <c r="AZ4" i="15"/>
  <c r="AX4" i="15"/>
  <c r="AW4" i="15"/>
  <c r="AT4" i="15"/>
  <c r="AU4" i="15" s="1"/>
  <c r="AR4" i="15"/>
  <c r="AQ4" i="15"/>
  <c r="AO4" i="15"/>
  <c r="AN4" i="15"/>
  <c r="AL4" i="15"/>
  <c r="AK4" i="15"/>
  <c r="AH4" i="15"/>
  <c r="AI4" i="15" s="1"/>
  <c r="AF4" i="15"/>
  <c r="AE4" i="15"/>
  <c r="AB4" i="15"/>
  <c r="AC4" i="15" s="1"/>
  <c r="Y4" i="15"/>
  <c r="Z4" i="15" s="1"/>
  <c r="W4" i="15"/>
  <c r="V4" i="15"/>
  <c r="S4" i="15"/>
  <c r="T4" i="15" s="1"/>
  <c r="P4" i="15"/>
  <c r="Q4" i="15" s="1"/>
  <c r="M4" i="15"/>
  <c r="N4" i="15" s="1"/>
  <c r="J4" i="15"/>
  <c r="K4" i="15" s="1"/>
  <c r="G4" i="15"/>
  <c r="H4" i="15" s="1"/>
  <c r="D4" i="15"/>
  <c r="E4" i="15" s="1"/>
  <c r="F3" i="15"/>
  <c r="I3" i="15" s="1"/>
  <c r="L3" i="15" s="1"/>
  <c r="O3" i="15" s="1"/>
  <c r="R3" i="15" s="1"/>
  <c r="U3" i="15" s="1"/>
  <c r="X3" i="15" s="1"/>
  <c r="AA3" i="15" s="1"/>
  <c r="AD3" i="15" s="1"/>
  <c r="AG3" i="15" s="1"/>
  <c r="AJ3" i="15" s="1"/>
  <c r="AM3" i="15" s="1"/>
  <c r="AP3" i="15" s="1"/>
  <c r="AS3" i="15" s="1"/>
  <c r="AV3" i="15" s="1"/>
  <c r="AY3" i="15" s="1"/>
  <c r="BB3" i="15" s="1"/>
  <c r="F2" i="15"/>
  <c r="I2" i="15" s="1"/>
  <c r="L2" i="15" s="1"/>
  <c r="O2" i="15" s="1"/>
  <c r="R2" i="15" s="1"/>
  <c r="U2" i="15" s="1"/>
  <c r="X2" i="15" s="1"/>
  <c r="AA2" i="15" s="1"/>
  <c r="AD2" i="15" s="1"/>
  <c r="AG2" i="15" s="1"/>
  <c r="F1" i="15"/>
  <c r="I1" i="15" s="1"/>
  <c r="L1" i="15" s="1"/>
  <c r="O1" i="15" s="1"/>
  <c r="R1" i="15" s="1"/>
  <c r="U1" i="15" s="1"/>
  <c r="X1" i="15" s="1"/>
  <c r="AA1" i="15" s="1"/>
  <c r="AD1" i="15" s="1"/>
  <c r="AG1" i="15" s="1"/>
  <c r="AJ1" i="15" s="1"/>
  <c r="AM1" i="15" s="1"/>
  <c r="AP1" i="15" s="1"/>
  <c r="AS1" i="15" s="1"/>
  <c r="AV1" i="15" s="1"/>
  <c r="AY1" i="15" s="1"/>
  <c r="BB1" i="15" s="1"/>
  <c r="BB13" i="14"/>
  <c r="AY13" i="14"/>
  <c r="AV13" i="14"/>
  <c r="AS13" i="14"/>
  <c r="AP13" i="14"/>
  <c r="AM13" i="14"/>
  <c r="AJ13" i="14"/>
  <c r="AG13" i="14"/>
  <c r="AD13" i="14"/>
  <c r="AA13" i="14"/>
  <c r="X13" i="14"/>
  <c r="U13" i="14"/>
  <c r="R13" i="14"/>
  <c r="O13" i="14"/>
  <c r="L13" i="14"/>
  <c r="I13" i="14"/>
  <c r="F13" i="14"/>
  <c r="C13" i="14"/>
  <c r="BD9" i="14"/>
  <c r="BC9" i="14"/>
  <c r="BA9" i="14"/>
  <c r="AZ9" i="14"/>
  <c r="AX9" i="14"/>
  <c r="AW9" i="14"/>
  <c r="AU9" i="14"/>
  <c r="AT9" i="14"/>
  <c r="AQ9" i="14"/>
  <c r="AR9" i="14" s="1"/>
  <c r="AN9" i="14"/>
  <c r="AO9" i="14" s="1"/>
  <c r="AL9" i="14"/>
  <c r="AK9" i="14"/>
  <c r="AI9" i="14"/>
  <c r="AH9" i="14"/>
  <c r="AF9" i="14"/>
  <c r="AE9" i="14"/>
  <c r="AB9" i="14"/>
  <c r="AC9" i="14" s="1"/>
  <c r="Z9" i="14"/>
  <c r="Y9" i="14"/>
  <c r="W9" i="14"/>
  <c r="V9" i="14"/>
  <c r="T9" i="14"/>
  <c r="S9" i="14"/>
  <c r="Q9" i="14"/>
  <c r="P9" i="14"/>
  <c r="M9" i="14"/>
  <c r="N9" i="14" s="1"/>
  <c r="K9" i="14"/>
  <c r="J9" i="14"/>
  <c r="H9" i="14"/>
  <c r="G9" i="14"/>
  <c r="D9" i="14"/>
  <c r="E9" i="14" s="1"/>
  <c r="BC8" i="14"/>
  <c r="BD8" i="14" s="1"/>
  <c r="BA8" i="14"/>
  <c r="AZ8" i="14"/>
  <c r="AX8" i="14"/>
  <c r="AW8" i="14"/>
  <c r="AT8" i="14"/>
  <c r="AU8" i="14" s="1"/>
  <c r="AQ8" i="14"/>
  <c r="AR8" i="14" s="1"/>
  <c r="AO8" i="14"/>
  <c r="AN8" i="14"/>
  <c r="AL8" i="14"/>
  <c r="AK8" i="14"/>
  <c r="AI8" i="14"/>
  <c r="AH8" i="14"/>
  <c r="AE8" i="14"/>
  <c r="AF8" i="14" s="1"/>
  <c r="AC8" i="14"/>
  <c r="AB8" i="14"/>
  <c r="Z8" i="14"/>
  <c r="Y8" i="14"/>
  <c r="V8" i="14"/>
  <c r="S8" i="14"/>
  <c r="T8" i="14" s="1"/>
  <c r="P8" i="14"/>
  <c r="Q8" i="14" s="1"/>
  <c r="N8" i="14"/>
  <c r="M8" i="14"/>
  <c r="J8" i="14"/>
  <c r="K8" i="14" s="1"/>
  <c r="G8" i="14"/>
  <c r="H8" i="14" s="1"/>
  <c r="E8" i="14"/>
  <c r="D8" i="14"/>
  <c r="BC7" i="14"/>
  <c r="BD7" i="14" s="1"/>
  <c r="BA7" i="14"/>
  <c r="AZ7" i="14"/>
  <c r="AW7" i="14"/>
  <c r="AX7" i="14" s="1"/>
  <c r="AT7" i="14"/>
  <c r="AU7" i="14" s="1"/>
  <c r="AQ7" i="14"/>
  <c r="AR7" i="14" s="1"/>
  <c r="AN7" i="14"/>
  <c r="AO7" i="14" s="1"/>
  <c r="AK7" i="14"/>
  <c r="AL7" i="14" s="1"/>
  <c r="AH7" i="14"/>
  <c r="AI7" i="14" s="1"/>
  <c r="AF7" i="14"/>
  <c r="AE7" i="14"/>
  <c r="AB7" i="14"/>
  <c r="AC7" i="14" s="1"/>
  <c r="Y7" i="14"/>
  <c r="Z7" i="14" s="1"/>
  <c r="W7" i="14"/>
  <c r="V7" i="14"/>
  <c r="S7" i="14"/>
  <c r="T7" i="14" s="1"/>
  <c r="Q7" i="14"/>
  <c r="P7" i="14"/>
  <c r="N7" i="14"/>
  <c r="M7" i="14"/>
  <c r="K7" i="14"/>
  <c r="J7" i="14"/>
  <c r="G7" i="14"/>
  <c r="H7" i="14" s="1"/>
  <c r="E7" i="14"/>
  <c r="D7" i="14"/>
  <c r="BC6" i="14"/>
  <c r="BD6" i="14" s="1"/>
  <c r="BA6" i="14"/>
  <c r="AZ6" i="14"/>
  <c r="AW6" i="14"/>
  <c r="AX6" i="14" s="1"/>
  <c r="AU6" i="14"/>
  <c r="AT6" i="14"/>
  <c r="AQ6" i="14"/>
  <c r="AR6" i="14" s="1"/>
  <c r="AN6" i="14"/>
  <c r="AO6" i="14" s="1"/>
  <c r="AL6" i="14"/>
  <c r="AK6" i="14"/>
  <c r="AH6" i="14"/>
  <c r="AI6" i="14" s="1"/>
  <c r="AF6" i="14"/>
  <c r="AE6" i="14"/>
  <c r="AC6" i="14"/>
  <c r="AB6" i="14"/>
  <c r="Y6" i="14"/>
  <c r="Z6" i="14" s="1"/>
  <c r="V6" i="14"/>
  <c r="T6" i="14"/>
  <c r="W6" i="14" s="1"/>
  <c r="S6" i="14"/>
  <c r="Q6" i="14"/>
  <c r="P6" i="14"/>
  <c r="M6" i="14"/>
  <c r="N6" i="14" s="1"/>
  <c r="K6" i="14"/>
  <c r="J6" i="14"/>
  <c r="H6" i="14"/>
  <c r="G6" i="14"/>
  <c r="D6" i="14"/>
  <c r="E6" i="14" s="1"/>
  <c r="BD5" i="14"/>
  <c r="BC5" i="14"/>
  <c r="AZ5" i="14"/>
  <c r="BA5" i="14" s="1"/>
  <c r="AW5" i="14"/>
  <c r="AX5" i="14" s="1"/>
  <c r="AU5" i="14"/>
  <c r="AT5" i="14"/>
  <c r="AR5" i="14"/>
  <c r="AQ5" i="14"/>
  <c r="AN5" i="14"/>
  <c r="AO5" i="14" s="1"/>
  <c r="AL5" i="14"/>
  <c r="AK5" i="14"/>
  <c r="AH5" i="14"/>
  <c r="AI5" i="14" s="1"/>
  <c r="AF5" i="14"/>
  <c r="AE5" i="14"/>
  <c r="AC5" i="14"/>
  <c r="AB5" i="14"/>
  <c r="Z5" i="14"/>
  <c r="Y5" i="14"/>
  <c r="V5" i="14"/>
  <c r="S5" i="14"/>
  <c r="T5" i="14" s="1"/>
  <c r="W5" i="14" s="1"/>
  <c r="P5" i="14"/>
  <c r="Q5" i="14" s="1"/>
  <c r="N5" i="14"/>
  <c r="M5" i="14"/>
  <c r="K5" i="14"/>
  <c r="J5" i="14"/>
  <c r="G5" i="14"/>
  <c r="H5" i="14" s="1"/>
  <c r="D5" i="14"/>
  <c r="E5" i="14" s="1"/>
  <c r="BC4" i="14"/>
  <c r="BD4" i="14" s="1"/>
  <c r="AZ4" i="14"/>
  <c r="BA4" i="14" s="1"/>
  <c r="AW4" i="14"/>
  <c r="AX4" i="14" s="1"/>
  <c r="AT4" i="14"/>
  <c r="AU4" i="14" s="1"/>
  <c r="AR4" i="14"/>
  <c r="AQ4" i="14"/>
  <c r="AO4" i="14"/>
  <c r="AN4" i="14"/>
  <c r="AK4" i="14"/>
  <c r="AL4" i="14" s="1"/>
  <c r="AH4" i="14"/>
  <c r="AI4" i="14" s="1"/>
  <c r="AE4" i="14"/>
  <c r="AF4" i="14" s="1"/>
  <c r="AC4" i="14"/>
  <c r="AB4" i="14"/>
  <c r="Z4" i="14"/>
  <c r="Y4" i="14"/>
  <c r="V4" i="14"/>
  <c r="T4" i="14"/>
  <c r="W4" i="14" s="1"/>
  <c r="S4" i="14"/>
  <c r="Q4" i="14"/>
  <c r="P4" i="14"/>
  <c r="N4" i="14"/>
  <c r="M4" i="14"/>
  <c r="K4" i="14"/>
  <c r="J4" i="14"/>
  <c r="G4" i="14"/>
  <c r="H4" i="14" s="1"/>
  <c r="D4" i="14"/>
  <c r="E4" i="14" s="1"/>
  <c r="F3" i="14"/>
  <c r="I3" i="14" s="1"/>
  <c r="L3" i="14" s="1"/>
  <c r="O3" i="14" s="1"/>
  <c r="R3" i="14" s="1"/>
  <c r="U3" i="14" s="1"/>
  <c r="X3" i="14" s="1"/>
  <c r="AA3" i="14" s="1"/>
  <c r="AD3" i="14" s="1"/>
  <c r="AG3" i="14" s="1"/>
  <c r="AJ3" i="14" s="1"/>
  <c r="AM3" i="14" s="1"/>
  <c r="AP3" i="14" s="1"/>
  <c r="AS3" i="14" s="1"/>
  <c r="AV3" i="14" s="1"/>
  <c r="AY3" i="14" s="1"/>
  <c r="BB3" i="14" s="1"/>
  <c r="F2" i="14"/>
  <c r="I2" i="14" s="1"/>
  <c r="L2" i="14" s="1"/>
  <c r="O2" i="14" s="1"/>
  <c r="R2" i="14" s="1"/>
  <c r="U2" i="14" s="1"/>
  <c r="X2" i="14" s="1"/>
  <c r="AA2" i="14" s="1"/>
  <c r="AD2" i="14" s="1"/>
  <c r="AG2" i="14" s="1"/>
  <c r="AJ2" i="14" s="1"/>
  <c r="AM2" i="14" s="1"/>
  <c r="AP2" i="14" s="1"/>
  <c r="AS2" i="14" s="1"/>
  <c r="AV2" i="14" s="1"/>
  <c r="AY2" i="14" s="1"/>
  <c r="BB2" i="14" s="1"/>
  <c r="F1" i="14"/>
  <c r="I1" i="14" s="1"/>
  <c r="L1" i="14" s="1"/>
  <c r="O1" i="14" s="1"/>
  <c r="R1" i="14" s="1"/>
  <c r="U1" i="14" s="1"/>
  <c r="X1" i="14" s="1"/>
  <c r="AA1" i="14" s="1"/>
  <c r="AD1" i="14" s="1"/>
  <c r="AG1" i="14" s="1"/>
  <c r="AJ1" i="14" s="1"/>
  <c r="AM1" i="14" s="1"/>
  <c r="AP1" i="14" s="1"/>
  <c r="AS1" i="14" s="1"/>
  <c r="AV1" i="14" s="1"/>
  <c r="AY1" i="14" s="1"/>
  <c r="BB1" i="14" s="1"/>
  <c r="F13" i="11"/>
  <c r="BB13" i="11"/>
  <c r="AY13" i="11"/>
  <c r="AV13" i="11"/>
  <c r="AS13" i="11"/>
  <c r="AP13" i="11"/>
  <c r="AM13" i="11"/>
  <c r="AJ13" i="11"/>
  <c r="AG13" i="11"/>
  <c r="AD13" i="11"/>
  <c r="AA13" i="11"/>
  <c r="X13" i="11"/>
  <c r="U13" i="11"/>
  <c r="R13" i="11"/>
  <c r="O13" i="11"/>
  <c r="L13" i="11"/>
  <c r="I13" i="11"/>
  <c r="C13" i="11"/>
  <c r="BD9" i="11"/>
  <c r="BC9" i="11"/>
  <c r="AZ9" i="11"/>
  <c r="BA9" i="11" s="1"/>
  <c r="AW9" i="11"/>
  <c r="AT9" i="11"/>
  <c r="AQ9" i="11"/>
  <c r="AN9" i="11"/>
  <c r="AK9" i="11"/>
  <c r="AH9" i="11"/>
  <c r="AE9" i="11"/>
  <c r="AB9" i="11"/>
  <c r="Y9" i="11"/>
  <c r="V9" i="11"/>
  <c r="S9" i="11"/>
  <c r="P9" i="11"/>
  <c r="M9" i="11"/>
  <c r="J9" i="11"/>
  <c r="G9" i="11"/>
  <c r="D9" i="11"/>
  <c r="E9" i="11" s="1"/>
  <c r="BC8" i="11"/>
  <c r="BD8" i="11" s="1"/>
  <c r="BA8" i="11"/>
  <c r="AZ8" i="11"/>
  <c r="AW8" i="11"/>
  <c r="AT8" i="11"/>
  <c r="AQ8" i="11"/>
  <c r="AN8" i="11"/>
  <c r="AK8" i="11"/>
  <c r="AH8" i="11"/>
  <c r="AE8" i="11"/>
  <c r="AB8" i="11"/>
  <c r="Y8" i="11"/>
  <c r="V8" i="11"/>
  <c r="S8" i="11"/>
  <c r="P8" i="11"/>
  <c r="M8" i="11"/>
  <c r="J8" i="11"/>
  <c r="G8" i="11"/>
  <c r="D8" i="11"/>
  <c r="E8" i="11" s="1"/>
  <c r="H8" i="11" s="1"/>
  <c r="BD7" i="11"/>
  <c r="BC7" i="11"/>
  <c r="AZ7" i="11"/>
  <c r="BA7" i="11" s="1"/>
  <c r="AW7" i="11"/>
  <c r="AT7" i="11"/>
  <c r="AQ7" i="11"/>
  <c r="AN7" i="11"/>
  <c r="AK7" i="11"/>
  <c r="AH7" i="11"/>
  <c r="AE7" i="11"/>
  <c r="AB7" i="11"/>
  <c r="Y7" i="11"/>
  <c r="V7" i="11"/>
  <c r="S7" i="11"/>
  <c r="P7" i="11"/>
  <c r="M7" i="11"/>
  <c r="J7" i="11"/>
  <c r="G7" i="11"/>
  <c r="D7" i="11"/>
  <c r="E7" i="11" s="1"/>
  <c r="BC6" i="11"/>
  <c r="BD6" i="11" s="1"/>
  <c r="AZ6" i="11"/>
  <c r="BA6" i="11" s="1"/>
  <c r="AW6" i="11"/>
  <c r="AT6" i="11"/>
  <c r="AQ6" i="11"/>
  <c r="AN6" i="11"/>
  <c r="AK6" i="11"/>
  <c r="AH6" i="11"/>
  <c r="AE6" i="11"/>
  <c r="AB6" i="11"/>
  <c r="Y6" i="11"/>
  <c r="V6" i="11"/>
  <c r="S6" i="11"/>
  <c r="P6" i="11"/>
  <c r="M6" i="11"/>
  <c r="J6" i="11"/>
  <c r="G6" i="11"/>
  <c r="D6" i="11"/>
  <c r="E6" i="11" s="1"/>
  <c r="BD5" i="11"/>
  <c r="BC5" i="11"/>
  <c r="AZ5" i="11"/>
  <c r="BA5" i="11" s="1"/>
  <c r="AW5" i="11"/>
  <c r="AT5" i="11"/>
  <c r="AQ5" i="11"/>
  <c r="AN5" i="11"/>
  <c r="AK5" i="11"/>
  <c r="AH5" i="11"/>
  <c r="AE5" i="11"/>
  <c r="AB5" i="11"/>
  <c r="Y5" i="11"/>
  <c r="V5" i="11"/>
  <c r="S5" i="11"/>
  <c r="P5" i="11"/>
  <c r="M5" i="11"/>
  <c r="J5" i="11"/>
  <c r="G5" i="11"/>
  <c r="D5" i="11"/>
  <c r="E5" i="11" s="1"/>
  <c r="BC4" i="11"/>
  <c r="BD4" i="11" s="1"/>
  <c r="AZ4" i="11"/>
  <c r="BA4" i="11" s="1"/>
  <c r="AW4" i="11"/>
  <c r="AT4" i="11"/>
  <c r="AQ4" i="11"/>
  <c r="AN4" i="11"/>
  <c r="AK4" i="11"/>
  <c r="AH4" i="11"/>
  <c r="AE4" i="11"/>
  <c r="AB4" i="11"/>
  <c r="Y4" i="11"/>
  <c r="V4" i="11"/>
  <c r="S4" i="11"/>
  <c r="P4" i="11"/>
  <c r="M4" i="11"/>
  <c r="J4" i="11"/>
  <c r="G4" i="11"/>
  <c r="D4" i="11"/>
  <c r="E4" i="11" s="1"/>
  <c r="F3" i="11"/>
  <c r="I3" i="11" s="1"/>
  <c r="L3" i="11" s="1"/>
  <c r="O3" i="11" s="1"/>
  <c r="R3" i="11" s="1"/>
  <c r="U3" i="11" s="1"/>
  <c r="X3" i="11" s="1"/>
  <c r="AA3" i="11" s="1"/>
  <c r="AD3" i="11" s="1"/>
  <c r="AG3" i="11" s="1"/>
  <c r="AJ3" i="11" s="1"/>
  <c r="AM3" i="11" s="1"/>
  <c r="AP3" i="11" s="1"/>
  <c r="AS3" i="11" s="1"/>
  <c r="AV3" i="11" s="1"/>
  <c r="AY3" i="11" s="1"/>
  <c r="BB3" i="11" s="1"/>
  <c r="F2" i="11"/>
  <c r="I2" i="11" s="1"/>
  <c r="L2" i="11" s="1"/>
  <c r="O2" i="11" s="1"/>
  <c r="R2" i="11" s="1"/>
  <c r="U2" i="11" s="1"/>
  <c r="X2" i="11" s="1"/>
  <c r="AA2" i="11" s="1"/>
  <c r="AD2" i="11" s="1"/>
  <c r="AG2" i="11" s="1"/>
  <c r="AJ2" i="11" s="1"/>
  <c r="AM2" i="11" s="1"/>
  <c r="AP2" i="11" s="1"/>
  <c r="AS2" i="11" s="1"/>
  <c r="AV2" i="11" s="1"/>
  <c r="AY2" i="11" s="1"/>
  <c r="BB2" i="11" s="1"/>
  <c r="F1" i="11"/>
  <c r="I1" i="11" s="1"/>
  <c r="L1" i="11" s="1"/>
  <c r="O1" i="11" s="1"/>
  <c r="R1" i="11" s="1"/>
  <c r="U1" i="11" s="1"/>
  <c r="X1" i="11" s="1"/>
  <c r="AA1" i="11" s="1"/>
  <c r="AD1" i="11" s="1"/>
  <c r="AG1" i="11" s="1"/>
  <c r="AJ1" i="11" s="1"/>
  <c r="AM1" i="11" s="1"/>
  <c r="AP1" i="11" s="1"/>
  <c r="AS1" i="11" s="1"/>
  <c r="AV1" i="11" s="1"/>
  <c r="AY1" i="11" s="1"/>
  <c r="BB1" i="11" s="1"/>
  <c r="BB16" i="10"/>
  <c r="AY16" i="10"/>
  <c r="AV16" i="10"/>
  <c r="AS16" i="10"/>
  <c r="AP16" i="10"/>
  <c r="AM16" i="10"/>
  <c r="AJ16" i="10"/>
  <c r="AG16" i="10"/>
  <c r="AD16" i="10"/>
  <c r="AA16" i="10"/>
  <c r="X16" i="10"/>
  <c r="U16" i="10"/>
  <c r="R16" i="10"/>
  <c r="O16" i="10"/>
  <c r="L16" i="10"/>
  <c r="I16" i="10"/>
  <c r="F16" i="10"/>
  <c r="C16" i="10"/>
  <c r="BC12" i="10"/>
  <c r="BD12" i="10" s="1"/>
  <c r="AZ12" i="10"/>
  <c r="BA12" i="10" s="1"/>
  <c r="AW12" i="10"/>
  <c r="AX12" i="10" s="1"/>
  <c r="AT12" i="10"/>
  <c r="AU12" i="10" s="1"/>
  <c r="AR12" i="10"/>
  <c r="AQ12" i="10"/>
  <c r="AN12" i="10"/>
  <c r="AO12" i="10" s="1"/>
  <c r="AL12" i="10"/>
  <c r="AK12" i="10"/>
  <c r="AI12" i="10"/>
  <c r="AH12" i="10"/>
  <c r="AF12" i="10"/>
  <c r="AE12" i="10"/>
  <c r="AC12" i="10"/>
  <c r="AB12" i="10"/>
  <c r="Y12" i="10"/>
  <c r="V12" i="10"/>
  <c r="S12" i="10"/>
  <c r="P12" i="10"/>
  <c r="M12" i="10"/>
  <c r="J12" i="10"/>
  <c r="G12" i="10"/>
  <c r="D12" i="10"/>
  <c r="E12" i="10" s="1"/>
  <c r="BD11" i="10"/>
  <c r="BC11" i="10"/>
  <c r="AZ11" i="10"/>
  <c r="BA11" i="10" s="1"/>
  <c r="AW11" i="10"/>
  <c r="AX11" i="10" s="1"/>
  <c r="AU11" i="10"/>
  <c r="AT11" i="10"/>
  <c r="AR11" i="10"/>
  <c r="AQ11" i="10"/>
  <c r="AN11" i="10"/>
  <c r="AO11" i="10" s="1"/>
  <c r="AL11" i="10"/>
  <c r="AK11" i="10"/>
  <c r="AH11" i="10"/>
  <c r="AE11" i="10"/>
  <c r="AF11" i="10" s="1"/>
  <c r="AB11" i="10"/>
  <c r="AC11" i="10" s="1"/>
  <c r="Z11" i="10"/>
  <c r="Y11" i="10"/>
  <c r="V11" i="10"/>
  <c r="S11" i="10"/>
  <c r="P11" i="10"/>
  <c r="M11" i="10"/>
  <c r="J11" i="10"/>
  <c r="G11" i="10"/>
  <c r="D11" i="10"/>
  <c r="E11" i="10" s="1"/>
  <c r="H11" i="10" s="1"/>
  <c r="K11" i="10" s="1"/>
  <c r="BC10" i="10"/>
  <c r="BD10" i="10" s="1"/>
  <c r="AZ10" i="10"/>
  <c r="BA10" i="10" s="1"/>
  <c r="AW10" i="10"/>
  <c r="AX10" i="10" s="1"/>
  <c r="AU10" i="10"/>
  <c r="AT10" i="10"/>
  <c r="AR10" i="10"/>
  <c r="AQ10" i="10"/>
  <c r="AO10" i="10"/>
  <c r="AN10" i="10"/>
  <c r="AK10" i="10"/>
  <c r="AL10" i="10" s="1"/>
  <c r="AH10" i="10"/>
  <c r="AF10" i="10"/>
  <c r="AE10" i="10"/>
  <c r="AC10" i="10"/>
  <c r="AB10" i="10"/>
  <c r="Y10" i="10"/>
  <c r="V10" i="10"/>
  <c r="S10" i="10"/>
  <c r="P10" i="10"/>
  <c r="M10" i="10"/>
  <c r="J10" i="10"/>
  <c r="G10" i="10"/>
  <c r="D10" i="10"/>
  <c r="E10" i="10" s="1"/>
  <c r="BC9" i="10"/>
  <c r="BD9" i="10" s="1"/>
  <c r="AZ9" i="10"/>
  <c r="BA9" i="10" s="1"/>
  <c r="AW9" i="10"/>
  <c r="AX9" i="10" s="1"/>
  <c r="AT9" i="10"/>
  <c r="AU9" i="10" s="1"/>
  <c r="AQ9" i="10"/>
  <c r="AR9" i="10" s="1"/>
  <c r="AN9" i="10"/>
  <c r="AO9" i="10" s="1"/>
  <c r="AK9" i="10"/>
  <c r="AL9" i="10" s="1"/>
  <c r="AH9" i="10"/>
  <c r="AE9" i="10"/>
  <c r="AF9" i="10" s="1"/>
  <c r="AB9" i="10"/>
  <c r="AC9" i="10" s="1"/>
  <c r="Y9" i="10"/>
  <c r="V9" i="10"/>
  <c r="S9" i="10"/>
  <c r="P9" i="10"/>
  <c r="M9" i="10"/>
  <c r="J9" i="10"/>
  <c r="G9" i="10"/>
  <c r="D9" i="10"/>
  <c r="E9" i="10" s="1"/>
  <c r="H9" i="10" s="1"/>
  <c r="BC8" i="10"/>
  <c r="BD8" i="10" s="1"/>
  <c r="AZ8" i="10"/>
  <c r="BA8" i="10" s="1"/>
  <c r="AW8" i="10"/>
  <c r="AX8" i="10" s="1"/>
  <c r="AT8" i="10"/>
  <c r="AU8" i="10" s="1"/>
  <c r="AR8" i="10"/>
  <c r="AQ8" i="10"/>
  <c r="AO8" i="10"/>
  <c r="AN8" i="10"/>
  <c r="AL8" i="10"/>
  <c r="AK8" i="10"/>
  <c r="AI8" i="10"/>
  <c r="AH8" i="10"/>
  <c r="AE8" i="10"/>
  <c r="AF8" i="10" s="1"/>
  <c r="AC8" i="10"/>
  <c r="AB8" i="10"/>
  <c r="Z8" i="10"/>
  <c r="Y8" i="10"/>
  <c r="V8" i="10"/>
  <c r="S8" i="10"/>
  <c r="P8" i="10"/>
  <c r="M8" i="10"/>
  <c r="J8" i="10"/>
  <c r="G8" i="10"/>
  <c r="H8" i="10" s="1"/>
  <c r="K8" i="10" s="1"/>
  <c r="D8" i="10"/>
  <c r="E8" i="10" s="1"/>
  <c r="BD7" i="10"/>
  <c r="BC7" i="10"/>
  <c r="AZ7" i="10"/>
  <c r="BA7" i="10" s="1"/>
  <c r="AW7" i="10"/>
  <c r="AX7" i="10" s="1"/>
  <c r="AU7" i="10"/>
  <c r="AT7" i="10"/>
  <c r="AR7" i="10"/>
  <c r="AQ7" i="10"/>
  <c r="AO7" i="10"/>
  <c r="AN7" i="10"/>
  <c r="AL7" i="10"/>
  <c r="AK7" i="10"/>
  <c r="AH7" i="10"/>
  <c r="AI7" i="10" s="1"/>
  <c r="AE7" i="10"/>
  <c r="AF7" i="10" s="1"/>
  <c r="AB7" i="10"/>
  <c r="Z7" i="10"/>
  <c r="AC7" i="10" s="1"/>
  <c r="Y7" i="10"/>
  <c r="V7" i="10"/>
  <c r="S7" i="10"/>
  <c r="P7" i="10"/>
  <c r="M7" i="10"/>
  <c r="J7" i="10"/>
  <c r="G7" i="10"/>
  <c r="H7" i="10" s="1"/>
  <c r="D7" i="10"/>
  <c r="E7" i="10" s="1"/>
  <c r="BC6" i="10"/>
  <c r="BD6" i="10" s="1"/>
  <c r="BA6" i="10"/>
  <c r="AZ6" i="10"/>
  <c r="AX6" i="10"/>
  <c r="AW6" i="10"/>
  <c r="AU6" i="10"/>
  <c r="AT6" i="10"/>
  <c r="AQ6" i="10"/>
  <c r="AN6" i="10"/>
  <c r="AO6" i="10" s="1"/>
  <c r="AR6" i="10" s="1"/>
  <c r="AK6" i="10"/>
  <c r="AL6" i="10" s="1"/>
  <c r="AH6" i="10"/>
  <c r="AE6" i="10"/>
  <c r="AC6" i="10"/>
  <c r="AB6" i="10"/>
  <c r="Z6" i="10"/>
  <c r="Y6" i="10"/>
  <c r="V6" i="10"/>
  <c r="S6" i="10"/>
  <c r="P6" i="10"/>
  <c r="M6" i="10"/>
  <c r="J6" i="10"/>
  <c r="G6" i="10"/>
  <c r="H6" i="10" s="1"/>
  <c r="D6" i="10"/>
  <c r="E6" i="10" s="1"/>
  <c r="BC5" i="10"/>
  <c r="BD5" i="10" s="1"/>
  <c r="AZ5" i="10"/>
  <c r="BA5" i="10" s="1"/>
  <c r="AW5" i="10"/>
  <c r="AX5" i="10" s="1"/>
  <c r="AT5" i="10"/>
  <c r="AU5" i="10" s="1"/>
  <c r="AR5" i="10"/>
  <c r="AQ5" i="10"/>
  <c r="AN5" i="10"/>
  <c r="AO5" i="10" s="1"/>
  <c r="AL5" i="10"/>
  <c r="AK5" i="10"/>
  <c r="AH5" i="10"/>
  <c r="AE5" i="10"/>
  <c r="AF5" i="10" s="1"/>
  <c r="AC5" i="10"/>
  <c r="AB5" i="10"/>
  <c r="Y5" i="10"/>
  <c r="V5" i="10"/>
  <c r="S5" i="10"/>
  <c r="P5" i="10"/>
  <c r="M5" i="10"/>
  <c r="J5" i="10"/>
  <c r="G5" i="10"/>
  <c r="D5" i="10"/>
  <c r="E5" i="10" s="1"/>
  <c r="BD4" i="10"/>
  <c r="BC4" i="10"/>
  <c r="AZ4" i="10"/>
  <c r="BA4" i="10" s="1"/>
  <c r="AX4" i="10"/>
  <c r="AW4" i="10"/>
  <c r="AU4" i="10"/>
  <c r="AT4" i="10"/>
  <c r="AQ4" i="10"/>
  <c r="AR4" i="10" s="1"/>
  <c r="AO4" i="10"/>
  <c r="AN4" i="10"/>
  <c r="AK4" i="10"/>
  <c r="AL4" i="10" s="1"/>
  <c r="AI4" i="10"/>
  <c r="AH4" i="10"/>
  <c r="AE4" i="10"/>
  <c r="AF4" i="10" s="1"/>
  <c r="AC4" i="10"/>
  <c r="AB4" i="10"/>
  <c r="Y4" i="10"/>
  <c r="V4" i="10"/>
  <c r="S4" i="10"/>
  <c r="P4" i="10"/>
  <c r="M4" i="10"/>
  <c r="J4" i="10"/>
  <c r="G4" i="10"/>
  <c r="D4" i="10"/>
  <c r="E4" i="10" s="1"/>
  <c r="F3" i="10"/>
  <c r="I3" i="10" s="1"/>
  <c r="L3" i="10" s="1"/>
  <c r="O3" i="10" s="1"/>
  <c r="R3" i="10" s="1"/>
  <c r="U3" i="10" s="1"/>
  <c r="X3" i="10" s="1"/>
  <c r="AA3" i="10" s="1"/>
  <c r="AD3" i="10" s="1"/>
  <c r="AG3" i="10" s="1"/>
  <c r="AJ3" i="10" s="1"/>
  <c r="AM3" i="10" s="1"/>
  <c r="AP3" i="10" s="1"/>
  <c r="AS3" i="10" s="1"/>
  <c r="AV3" i="10" s="1"/>
  <c r="AY3" i="10" s="1"/>
  <c r="BB3" i="10" s="1"/>
  <c r="F2" i="10"/>
  <c r="I2" i="10" s="1"/>
  <c r="L2" i="10" s="1"/>
  <c r="O2" i="10" s="1"/>
  <c r="R2" i="10" s="1"/>
  <c r="U2" i="10" s="1"/>
  <c r="X2" i="10" s="1"/>
  <c r="AA2" i="10" s="1"/>
  <c r="AD2" i="10" s="1"/>
  <c r="AG2" i="10" s="1"/>
  <c r="AJ2" i="10" s="1"/>
  <c r="AM2" i="10" s="1"/>
  <c r="AP2" i="10" s="1"/>
  <c r="AS2" i="10" s="1"/>
  <c r="AV2" i="10" s="1"/>
  <c r="AY2" i="10" s="1"/>
  <c r="BB2" i="10" s="1"/>
  <c r="F1" i="10"/>
  <c r="I1" i="10" s="1"/>
  <c r="L1" i="10" s="1"/>
  <c r="O1" i="10" s="1"/>
  <c r="R1" i="10" s="1"/>
  <c r="U1" i="10" s="1"/>
  <c r="X1" i="10" s="1"/>
  <c r="AA1" i="10" s="1"/>
  <c r="AD1" i="10" s="1"/>
  <c r="AG1" i="10" s="1"/>
  <c r="AJ1" i="10" s="1"/>
  <c r="AM1" i="10" s="1"/>
  <c r="AP1" i="10" s="1"/>
  <c r="AS1" i="10" s="1"/>
  <c r="AV1" i="10" s="1"/>
  <c r="AY1" i="10" s="1"/>
  <c r="BB1" i="10" s="1"/>
  <c r="BB21" i="9"/>
  <c r="AY21" i="9"/>
  <c r="AV21" i="9"/>
  <c r="AS21" i="9"/>
  <c r="AP21" i="9"/>
  <c r="AM21" i="9"/>
  <c r="AJ21" i="9"/>
  <c r="AG21" i="9"/>
  <c r="AD21" i="9"/>
  <c r="AA21" i="9"/>
  <c r="X21" i="9"/>
  <c r="U21" i="9"/>
  <c r="R21" i="9"/>
  <c r="O21" i="9"/>
  <c r="L21" i="9"/>
  <c r="I21" i="9"/>
  <c r="F21" i="9"/>
  <c r="C21" i="9"/>
  <c r="BD17" i="9"/>
  <c r="BC17" i="9"/>
  <c r="BA17" i="9"/>
  <c r="AZ17" i="9"/>
  <c r="AX17" i="9"/>
  <c r="AW17" i="9"/>
  <c r="AU17" i="9"/>
  <c r="AT17" i="9"/>
  <c r="AR17" i="9"/>
  <c r="AQ17" i="9"/>
  <c r="AO17" i="9"/>
  <c r="AN17" i="9"/>
  <c r="AL17" i="9"/>
  <c r="AK17" i="9"/>
  <c r="AI17" i="9"/>
  <c r="AH17" i="9"/>
  <c r="AF17" i="9"/>
  <c r="AE17" i="9"/>
  <c r="AC17" i="9"/>
  <c r="AB17" i="9"/>
  <c r="Z17" i="9"/>
  <c r="Y17" i="9"/>
  <c r="W17" i="9"/>
  <c r="V17" i="9"/>
  <c r="S17" i="9"/>
  <c r="P17" i="9"/>
  <c r="M17" i="9"/>
  <c r="J17" i="9"/>
  <c r="G17" i="9"/>
  <c r="D17" i="9"/>
  <c r="E17" i="9" s="1"/>
  <c r="H17" i="9" s="1"/>
  <c r="K17" i="9" s="1"/>
  <c r="N17" i="9" s="1"/>
  <c r="Q17" i="9" s="1"/>
  <c r="T17" i="9" s="1"/>
  <c r="BD16" i="9"/>
  <c r="BC16" i="9"/>
  <c r="BA16" i="9"/>
  <c r="AZ16" i="9"/>
  <c r="AX16" i="9"/>
  <c r="AW16" i="9"/>
  <c r="AU16" i="9"/>
  <c r="AT16" i="9"/>
  <c r="AR16" i="9"/>
  <c r="AQ16" i="9"/>
  <c r="AO16" i="9"/>
  <c r="AN16" i="9"/>
  <c r="AL16" i="9"/>
  <c r="AK16" i="9"/>
  <c r="AI16" i="9"/>
  <c r="AH16" i="9"/>
  <c r="AF16" i="9"/>
  <c r="AE16" i="9"/>
  <c r="AC16" i="9"/>
  <c r="AB16" i="9"/>
  <c r="Z16" i="9"/>
  <c r="Y16" i="9"/>
  <c r="W16" i="9"/>
  <c r="V16" i="9"/>
  <c r="S16" i="9"/>
  <c r="P16" i="9"/>
  <c r="M16" i="9"/>
  <c r="J16" i="9"/>
  <c r="G16" i="9"/>
  <c r="D16" i="9"/>
  <c r="E16" i="9" s="1"/>
  <c r="H16" i="9" s="1"/>
  <c r="K16" i="9" s="1"/>
  <c r="N16" i="9" s="1"/>
  <c r="Q16" i="9" s="1"/>
  <c r="T16" i="9" s="1"/>
  <c r="BD15" i="9"/>
  <c r="BC15" i="9"/>
  <c r="BA15" i="9"/>
  <c r="AZ15" i="9"/>
  <c r="AX15" i="9"/>
  <c r="AW15" i="9"/>
  <c r="AU15" i="9"/>
  <c r="AT15" i="9"/>
  <c r="AR15" i="9"/>
  <c r="AQ15" i="9"/>
  <c r="AO15" i="9"/>
  <c r="AN15" i="9"/>
  <c r="AL15" i="9"/>
  <c r="AK15" i="9"/>
  <c r="AI15" i="9"/>
  <c r="AH15" i="9"/>
  <c r="AF15" i="9"/>
  <c r="AE15" i="9"/>
  <c r="AC15" i="9"/>
  <c r="AB15" i="9"/>
  <c r="Z15" i="9"/>
  <c r="Y15" i="9"/>
  <c r="W15" i="9"/>
  <c r="V15" i="9"/>
  <c r="S15" i="9"/>
  <c r="P15" i="9"/>
  <c r="M15" i="9"/>
  <c r="J15" i="9"/>
  <c r="G15" i="9"/>
  <c r="D15" i="9"/>
  <c r="E15" i="9" s="1"/>
  <c r="H15" i="9" s="1"/>
  <c r="K15" i="9" s="1"/>
  <c r="N15" i="9" s="1"/>
  <c r="Q15" i="9" s="1"/>
  <c r="T15" i="9" s="1"/>
  <c r="BD14" i="9"/>
  <c r="BC14" i="9"/>
  <c r="BA14" i="9"/>
  <c r="AZ14" i="9"/>
  <c r="AX14" i="9"/>
  <c r="AW14" i="9"/>
  <c r="AU14" i="9"/>
  <c r="AT14" i="9"/>
  <c r="AR14" i="9"/>
  <c r="AQ14" i="9"/>
  <c r="AO14" i="9"/>
  <c r="AN14" i="9"/>
  <c r="AL14" i="9"/>
  <c r="AK14" i="9"/>
  <c r="AI14" i="9"/>
  <c r="AH14" i="9"/>
  <c r="AF14" i="9"/>
  <c r="AE14" i="9"/>
  <c r="AC14" i="9"/>
  <c r="AB14" i="9"/>
  <c r="Z14" i="9"/>
  <c r="Y14" i="9"/>
  <c r="W14" i="9"/>
  <c r="V14" i="9"/>
  <c r="T14" i="9"/>
  <c r="S14" i="9"/>
  <c r="Q14" i="9"/>
  <c r="P14" i="9"/>
  <c r="N14" i="9"/>
  <c r="M14" i="9"/>
  <c r="K14" i="9"/>
  <c r="J14" i="9"/>
  <c r="H14" i="9"/>
  <c r="G14" i="9"/>
  <c r="D14" i="9"/>
  <c r="E14" i="9" s="1"/>
  <c r="BD13" i="9"/>
  <c r="BC13" i="9"/>
  <c r="BA13" i="9"/>
  <c r="AZ13" i="9"/>
  <c r="AX13" i="9"/>
  <c r="AW13" i="9"/>
  <c r="AU13" i="9"/>
  <c r="AT13" i="9"/>
  <c r="AR13" i="9"/>
  <c r="AQ13" i="9"/>
  <c r="AO13" i="9"/>
  <c r="AN13" i="9"/>
  <c r="AL13" i="9"/>
  <c r="AK13" i="9"/>
  <c r="AI13" i="9"/>
  <c r="AH13" i="9"/>
  <c r="AF13" i="9"/>
  <c r="AE13" i="9"/>
  <c r="AC13" i="9"/>
  <c r="AB13" i="9"/>
  <c r="Z13" i="9"/>
  <c r="Y13" i="9"/>
  <c r="W13" i="9"/>
  <c r="V13" i="9"/>
  <c r="S13" i="9"/>
  <c r="P13" i="9"/>
  <c r="M13" i="9"/>
  <c r="J13" i="9"/>
  <c r="G13" i="9"/>
  <c r="D13" i="9"/>
  <c r="E13" i="9" s="1"/>
  <c r="H13" i="9" s="1"/>
  <c r="K13" i="9" s="1"/>
  <c r="N13" i="9" s="1"/>
  <c r="Q13" i="9" s="1"/>
  <c r="T13" i="9" s="1"/>
  <c r="BD12" i="9"/>
  <c r="BC12" i="9"/>
  <c r="BA12" i="9"/>
  <c r="AZ12" i="9"/>
  <c r="AX12" i="9"/>
  <c r="AW12" i="9"/>
  <c r="AU12" i="9"/>
  <c r="AT12" i="9"/>
  <c r="AR12" i="9"/>
  <c r="AQ12" i="9"/>
  <c r="AO12" i="9"/>
  <c r="AN12" i="9"/>
  <c r="AL12" i="9"/>
  <c r="AK12" i="9"/>
  <c r="AI12" i="9"/>
  <c r="AH12" i="9"/>
  <c r="AF12" i="9"/>
  <c r="AE12" i="9"/>
  <c r="AC12" i="9"/>
  <c r="AB12" i="9"/>
  <c r="Z12" i="9"/>
  <c r="Y12" i="9"/>
  <c r="W12" i="9"/>
  <c r="V12" i="9"/>
  <c r="T12" i="9"/>
  <c r="S12" i="9"/>
  <c r="Q12" i="9"/>
  <c r="P12" i="9"/>
  <c r="N12" i="9"/>
  <c r="M12" i="9"/>
  <c r="K12" i="9"/>
  <c r="J12" i="9"/>
  <c r="H12" i="9"/>
  <c r="G12" i="9"/>
  <c r="D12" i="9"/>
  <c r="E12" i="9" s="1"/>
  <c r="BD11" i="9"/>
  <c r="BC11" i="9"/>
  <c r="BA11" i="9"/>
  <c r="AZ11" i="9"/>
  <c r="AX11" i="9"/>
  <c r="AW11" i="9"/>
  <c r="AU11" i="9"/>
  <c r="AT11" i="9"/>
  <c r="AR11" i="9"/>
  <c r="AQ11" i="9"/>
  <c r="AO11" i="9"/>
  <c r="AN11" i="9"/>
  <c r="AL11" i="9"/>
  <c r="AK11" i="9"/>
  <c r="AI11" i="9"/>
  <c r="AH11" i="9"/>
  <c r="AF11" i="9"/>
  <c r="AE11" i="9"/>
  <c r="AC11" i="9"/>
  <c r="AB11" i="9"/>
  <c r="Z11" i="9"/>
  <c r="Y11" i="9"/>
  <c r="W11" i="9"/>
  <c r="V11" i="9"/>
  <c r="T11" i="9"/>
  <c r="S11" i="9"/>
  <c r="P11" i="9"/>
  <c r="M11" i="9"/>
  <c r="J11" i="9"/>
  <c r="G11" i="9"/>
  <c r="D11" i="9"/>
  <c r="E11" i="9" s="1"/>
  <c r="H11" i="9" s="1"/>
  <c r="K11" i="9" s="1"/>
  <c r="N11" i="9" s="1"/>
  <c r="Q11" i="9" s="1"/>
  <c r="BD10" i="9"/>
  <c r="BC10" i="9"/>
  <c r="BA10" i="9"/>
  <c r="AZ10" i="9"/>
  <c r="AX10" i="9"/>
  <c r="AW10" i="9"/>
  <c r="AU10" i="9"/>
  <c r="AT10" i="9"/>
  <c r="AR10" i="9"/>
  <c r="AQ10" i="9"/>
  <c r="AO10" i="9"/>
  <c r="AN10" i="9"/>
  <c r="AL10" i="9"/>
  <c r="AK10" i="9"/>
  <c r="AI10" i="9"/>
  <c r="AH10" i="9"/>
  <c r="AF10" i="9"/>
  <c r="AE10" i="9"/>
  <c r="AC10" i="9"/>
  <c r="AB10" i="9"/>
  <c r="Z10" i="9"/>
  <c r="Y10" i="9"/>
  <c r="W10" i="9"/>
  <c r="V10" i="9"/>
  <c r="S10" i="9"/>
  <c r="P10" i="9"/>
  <c r="M10" i="9"/>
  <c r="J10" i="9"/>
  <c r="G10" i="9"/>
  <c r="D10" i="9"/>
  <c r="E10" i="9" s="1"/>
  <c r="H10" i="9" s="1"/>
  <c r="K10" i="9" s="1"/>
  <c r="N10" i="9" s="1"/>
  <c r="Q10" i="9" s="1"/>
  <c r="T10" i="9" s="1"/>
  <c r="BD9" i="9"/>
  <c r="BC9" i="9"/>
  <c r="BA9" i="9"/>
  <c r="AZ9" i="9"/>
  <c r="AX9" i="9"/>
  <c r="AW9" i="9"/>
  <c r="AU9" i="9"/>
  <c r="AT9" i="9"/>
  <c r="AR9" i="9"/>
  <c r="AQ9" i="9"/>
  <c r="AO9" i="9"/>
  <c r="AN9" i="9"/>
  <c r="AL9" i="9"/>
  <c r="AK9" i="9"/>
  <c r="AI9" i="9"/>
  <c r="AH9" i="9"/>
  <c r="AF9" i="9"/>
  <c r="AE9" i="9"/>
  <c r="AC9" i="9"/>
  <c r="AB9" i="9"/>
  <c r="Z9" i="9"/>
  <c r="Y9" i="9"/>
  <c r="W9" i="9"/>
  <c r="V9" i="9"/>
  <c r="T9" i="9"/>
  <c r="S9" i="9"/>
  <c r="Q9" i="9"/>
  <c r="P9" i="9"/>
  <c r="N9" i="9"/>
  <c r="M9" i="9"/>
  <c r="K9" i="9"/>
  <c r="J9" i="9"/>
  <c r="H9" i="9"/>
  <c r="G9" i="9"/>
  <c r="D9" i="9"/>
  <c r="E9" i="9" s="1"/>
  <c r="BD8" i="9"/>
  <c r="BC8" i="9"/>
  <c r="BA8" i="9"/>
  <c r="AZ8" i="9"/>
  <c r="AX8" i="9"/>
  <c r="AW8" i="9"/>
  <c r="AU8" i="9"/>
  <c r="AT8" i="9"/>
  <c r="AR8" i="9"/>
  <c r="AQ8" i="9"/>
  <c r="AO8" i="9"/>
  <c r="AN8" i="9"/>
  <c r="AL8" i="9"/>
  <c r="AK8" i="9"/>
  <c r="AI8" i="9"/>
  <c r="AH8" i="9"/>
  <c r="AF8" i="9"/>
  <c r="AE8" i="9"/>
  <c r="AC8" i="9"/>
  <c r="AB8" i="9"/>
  <c r="Z8" i="9"/>
  <c r="Y8" i="9"/>
  <c r="W8" i="9"/>
  <c r="V8" i="9"/>
  <c r="T8" i="9"/>
  <c r="S8" i="9"/>
  <c r="Q8" i="9"/>
  <c r="P8" i="9"/>
  <c r="N8" i="9"/>
  <c r="M8" i="9"/>
  <c r="K8" i="9"/>
  <c r="J8" i="9"/>
  <c r="H8" i="9"/>
  <c r="G8" i="9"/>
  <c r="D8" i="9"/>
  <c r="E8" i="9" s="1"/>
  <c r="BD7" i="9"/>
  <c r="BC7" i="9"/>
  <c r="BA7" i="9"/>
  <c r="AZ7" i="9"/>
  <c r="AX7" i="9"/>
  <c r="AW7" i="9"/>
  <c r="AU7" i="9"/>
  <c r="AT7" i="9"/>
  <c r="AR7" i="9"/>
  <c r="AQ7" i="9"/>
  <c r="AO7" i="9"/>
  <c r="AN7" i="9"/>
  <c r="AL7" i="9"/>
  <c r="AK7" i="9"/>
  <c r="AI7" i="9"/>
  <c r="AH7" i="9"/>
  <c r="AF7" i="9"/>
  <c r="AE7" i="9"/>
  <c r="AC7" i="9"/>
  <c r="AB7" i="9"/>
  <c r="Z7" i="9"/>
  <c r="Y7" i="9"/>
  <c r="W7" i="9"/>
  <c r="V7" i="9"/>
  <c r="S7" i="9"/>
  <c r="P7" i="9"/>
  <c r="M7" i="9"/>
  <c r="J7" i="9"/>
  <c r="G7" i="9"/>
  <c r="D7" i="9"/>
  <c r="E7" i="9" s="1"/>
  <c r="H7" i="9" s="1"/>
  <c r="K7" i="9" s="1"/>
  <c r="N7" i="9" s="1"/>
  <c r="Q7" i="9" s="1"/>
  <c r="T7" i="9" s="1"/>
  <c r="BD6" i="9"/>
  <c r="BC6" i="9"/>
  <c r="BA6" i="9"/>
  <c r="AZ6" i="9"/>
  <c r="AX6" i="9"/>
  <c r="AW6" i="9"/>
  <c r="AU6" i="9"/>
  <c r="AT6" i="9"/>
  <c r="AR6" i="9"/>
  <c r="AQ6" i="9"/>
  <c r="AO6" i="9"/>
  <c r="AN6" i="9"/>
  <c r="AL6" i="9"/>
  <c r="AK6" i="9"/>
  <c r="AI6" i="9"/>
  <c r="AH6" i="9"/>
  <c r="AF6" i="9"/>
  <c r="AE6" i="9"/>
  <c r="AC6" i="9"/>
  <c r="AB6" i="9"/>
  <c r="Z6" i="9"/>
  <c r="Y6" i="9"/>
  <c r="W6" i="9"/>
  <c r="V6" i="9"/>
  <c r="S6" i="9"/>
  <c r="P6" i="9"/>
  <c r="M6" i="9"/>
  <c r="J6" i="9"/>
  <c r="H6" i="9"/>
  <c r="K6" i="9" s="1"/>
  <c r="N6" i="9" s="1"/>
  <c r="Q6" i="9" s="1"/>
  <c r="T6" i="9" s="1"/>
  <c r="G6" i="9"/>
  <c r="D6" i="9"/>
  <c r="E6" i="9" s="1"/>
  <c r="BD5" i="9"/>
  <c r="BC5" i="9"/>
  <c r="BA5" i="9"/>
  <c r="AZ5" i="9"/>
  <c r="AX5" i="9"/>
  <c r="AW5" i="9"/>
  <c r="AU5" i="9"/>
  <c r="AT5" i="9"/>
  <c r="AR5" i="9"/>
  <c r="AQ5" i="9"/>
  <c r="AO5" i="9"/>
  <c r="AN5" i="9"/>
  <c r="AL5" i="9"/>
  <c r="AK5" i="9"/>
  <c r="AI5" i="9"/>
  <c r="AH5" i="9"/>
  <c r="AF5" i="9"/>
  <c r="AE5" i="9"/>
  <c r="AC5" i="9"/>
  <c r="AB5" i="9"/>
  <c r="Z5" i="9"/>
  <c r="Y5" i="9"/>
  <c r="W5" i="9"/>
  <c r="V5" i="9"/>
  <c r="T5" i="9"/>
  <c r="S5" i="9"/>
  <c r="P5" i="9"/>
  <c r="M5" i="9"/>
  <c r="J5" i="9"/>
  <c r="G5" i="9"/>
  <c r="D5" i="9"/>
  <c r="E5" i="9" s="1"/>
  <c r="H5" i="9" s="1"/>
  <c r="K5" i="9" s="1"/>
  <c r="N5" i="9" s="1"/>
  <c r="Q5" i="9" s="1"/>
  <c r="BD4" i="9"/>
  <c r="BC4" i="9"/>
  <c r="BA4" i="9"/>
  <c r="AZ4" i="9"/>
  <c r="AX4" i="9"/>
  <c r="AW4" i="9"/>
  <c r="AU4" i="9"/>
  <c r="AT4" i="9"/>
  <c r="AR4" i="9"/>
  <c r="AQ4" i="9"/>
  <c r="AO4" i="9"/>
  <c r="AN4" i="9"/>
  <c r="AL4" i="9"/>
  <c r="AK4" i="9"/>
  <c r="AI4" i="9"/>
  <c r="AH4" i="9"/>
  <c r="AF4" i="9"/>
  <c r="AE4" i="9"/>
  <c r="AC4" i="9"/>
  <c r="AB4" i="9"/>
  <c r="Z4" i="9"/>
  <c r="Y4" i="9"/>
  <c r="W4" i="9"/>
  <c r="V4" i="9"/>
  <c r="T4" i="9"/>
  <c r="S4" i="9"/>
  <c r="P4" i="9"/>
  <c r="M4" i="9"/>
  <c r="J4" i="9"/>
  <c r="G4" i="9"/>
  <c r="D4" i="9"/>
  <c r="E4" i="9" s="1"/>
  <c r="H4" i="9" s="1"/>
  <c r="K4" i="9" s="1"/>
  <c r="N4" i="9" s="1"/>
  <c r="Q4" i="9" s="1"/>
  <c r="I3" i="9"/>
  <c r="L3" i="9" s="1"/>
  <c r="O3" i="9" s="1"/>
  <c r="R3" i="9" s="1"/>
  <c r="U3" i="9" s="1"/>
  <c r="X3" i="9" s="1"/>
  <c r="AA3" i="9" s="1"/>
  <c r="AD3" i="9" s="1"/>
  <c r="AG3" i="9" s="1"/>
  <c r="AJ3" i="9" s="1"/>
  <c r="AM3" i="9" s="1"/>
  <c r="AP3" i="9" s="1"/>
  <c r="AS3" i="9" s="1"/>
  <c r="AV3" i="9" s="1"/>
  <c r="AY3" i="9" s="1"/>
  <c r="BB3" i="9" s="1"/>
  <c r="F3" i="9"/>
  <c r="F2" i="9"/>
  <c r="I2" i="9" s="1"/>
  <c r="L2" i="9" s="1"/>
  <c r="O2" i="9" s="1"/>
  <c r="R2" i="9" s="1"/>
  <c r="U2" i="9" s="1"/>
  <c r="X2" i="9" s="1"/>
  <c r="AA2" i="9" s="1"/>
  <c r="AD2" i="9" s="1"/>
  <c r="AG2" i="9" s="1"/>
  <c r="AJ2" i="9" s="1"/>
  <c r="AM2" i="9" s="1"/>
  <c r="AP2" i="9" s="1"/>
  <c r="AS2" i="9" s="1"/>
  <c r="AV2" i="9" s="1"/>
  <c r="AY2" i="9" s="1"/>
  <c r="BB2" i="9" s="1"/>
  <c r="F1" i="9"/>
  <c r="I1" i="9" s="1"/>
  <c r="L1" i="9" s="1"/>
  <c r="O1" i="9" s="1"/>
  <c r="R1" i="9" s="1"/>
  <c r="U1" i="9" s="1"/>
  <c r="X1" i="9" s="1"/>
  <c r="AA1" i="9" s="1"/>
  <c r="AD1" i="9" s="1"/>
  <c r="AG1" i="9" s="1"/>
  <c r="AJ1" i="9" s="1"/>
  <c r="AM1" i="9" s="1"/>
  <c r="AP1" i="9" s="1"/>
  <c r="AS1" i="9" s="1"/>
  <c r="AV1" i="9" s="1"/>
  <c r="AY1" i="9" s="1"/>
  <c r="BB1" i="9" s="1"/>
  <c r="AU5" i="8"/>
  <c r="BB17" i="8"/>
  <c r="AY17" i="8"/>
  <c r="AV17" i="8"/>
  <c r="AS17" i="8"/>
  <c r="AP17" i="8"/>
  <c r="AM17" i="8"/>
  <c r="AJ17" i="8"/>
  <c r="AG17" i="8"/>
  <c r="AD17" i="8"/>
  <c r="AA17" i="8"/>
  <c r="X17" i="8"/>
  <c r="U17" i="8"/>
  <c r="R17" i="8"/>
  <c r="O17" i="8"/>
  <c r="L17" i="8"/>
  <c r="I17" i="8"/>
  <c r="F17" i="8"/>
  <c r="C17" i="8"/>
  <c r="BR13" i="8"/>
  <c r="BC13" i="8"/>
  <c r="AZ13" i="8"/>
  <c r="AW13" i="8"/>
  <c r="AT13" i="8"/>
  <c r="AQ13" i="8"/>
  <c r="AR13" i="8" s="1"/>
  <c r="AN13" i="8"/>
  <c r="AK13" i="8"/>
  <c r="AH13" i="8"/>
  <c r="AE13" i="8"/>
  <c r="AB13" i="8"/>
  <c r="Y13" i="8"/>
  <c r="V13" i="8"/>
  <c r="S13" i="8"/>
  <c r="P13" i="8"/>
  <c r="M13" i="8"/>
  <c r="J13" i="8"/>
  <c r="G13" i="8"/>
  <c r="D13" i="8"/>
  <c r="E13" i="8" s="1"/>
  <c r="H13" i="8" s="1"/>
  <c r="BR12" i="8"/>
  <c r="BC12" i="8"/>
  <c r="AZ12" i="8"/>
  <c r="AW12" i="8"/>
  <c r="AT12" i="8"/>
  <c r="AU12" i="8" s="1"/>
  <c r="AQ12" i="8"/>
  <c r="AN12" i="8"/>
  <c r="AK12" i="8"/>
  <c r="AH12" i="8"/>
  <c r="AE12" i="8"/>
  <c r="AB12" i="8"/>
  <c r="Y12" i="8"/>
  <c r="V12" i="8"/>
  <c r="S12" i="8"/>
  <c r="P12" i="8"/>
  <c r="M12" i="8"/>
  <c r="J12" i="8"/>
  <c r="G12" i="8"/>
  <c r="D12" i="8"/>
  <c r="E12" i="8" s="1"/>
  <c r="BR11" i="8"/>
  <c r="BC11" i="8"/>
  <c r="AZ11" i="8"/>
  <c r="AW11" i="8"/>
  <c r="AT11" i="8"/>
  <c r="AQ11" i="8"/>
  <c r="AR11" i="8" s="1"/>
  <c r="AN11" i="8"/>
  <c r="AK11" i="8"/>
  <c r="AH11" i="8"/>
  <c r="AE11" i="8"/>
  <c r="AB11" i="8"/>
  <c r="Y11" i="8"/>
  <c r="V11" i="8"/>
  <c r="S11" i="8"/>
  <c r="P11" i="8"/>
  <c r="M11" i="8"/>
  <c r="J11" i="8"/>
  <c r="G11" i="8"/>
  <c r="D11" i="8"/>
  <c r="E11" i="8" s="1"/>
  <c r="BR10" i="8"/>
  <c r="BC10" i="8"/>
  <c r="AZ10" i="8"/>
  <c r="AW10" i="8"/>
  <c r="AT10" i="8"/>
  <c r="AU10" i="8" s="1"/>
  <c r="AQ10" i="8"/>
  <c r="AN10" i="8"/>
  <c r="AK10" i="8"/>
  <c r="AH10" i="8"/>
  <c r="AE10" i="8"/>
  <c r="AB10" i="8"/>
  <c r="Y10" i="8"/>
  <c r="V10" i="8"/>
  <c r="S10" i="8"/>
  <c r="P10" i="8"/>
  <c r="M10" i="8"/>
  <c r="J10" i="8"/>
  <c r="G10" i="8"/>
  <c r="D10" i="8"/>
  <c r="E10" i="8" s="1"/>
  <c r="BR9" i="8"/>
  <c r="BC9" i="8"/>
  <c r="AZ9" i="8"/>
  <c r="AW9" i="8"/>
  <c r="AT9" i="8"/>
  <c r="AU9" i="8" s="1"/>
  <c r="AQ9" i="8"/>
  <c r="AN9" i="8"/>
  <c r="AK9" i="8"/>
  <c r="AH9" i="8"/>
  <c r="AE9" i="8"/>
  <c r="AB9" i="8"/>
  <c r="Y9" i="8"/>
  <c r="V9" i="8"/>
  <c r="S9" i="8"/>
  <c r="P9" i="8"/>
  <c r="M9" i="8"/>
  <c r="J9" i="8"/>
  <c r="G9" i="8"/>
  <c r="D9" i="8"/>
  <c r="E9" i="8" s="1"/>
  <c r="BR8" i="8"/>
  <c r="BC8" i="8"/>
  <c r="AZ8" i="8"/>
  <c r="AW8" i="8"/>
  <c r="AT8" i="8"/>
  <c r="AQ8" i="8"/>
  <c r="AN8" i="8"/>
  <c r="AK8" i="8"/>
  <c r="AH8" i="8"/>
  <c r="AE8" i="8"/>
  <c r="AB8" i="8"/>
  <c r="Y8" i="8"/>
  <c r="V8" i="8"/>
  <c r="S8" i="8"/>
  <c r="P8" i="8"/>
  <c r="M8" i="8"/>
  <c r="J8" i="8"/>
  <c r="G8" i="8"/>
  <c r="D8" i="8"/>
  <c r="E8" i="8" s="1"/>
  <c r="BR7" i="8"/>
  <c r="BC7" i="8"/>
  <c r="AZ7" i="8"/>
  <c r="AW7" i="8"/>
  <c r="AT7" i="8"/>
  <c r="AQ7" i="8"/>
  <c r="AN7" i="8"/>
  <c r="AK7" i="8"/>
  <c r="AH7" i="8"/>
  <c r="AE7" i="8"/>
  <c r="AB7" i="8"/>
  <c r="Y7" i="8"/>
  <c r="V7" i="8"/>
  <c r="S7" i="8"/>
  <c r="P7" i="8"/>
  <c r="M7" i="8"/>
  <c r="J7" i="8"/>
  <c r="G7" i="8"/>
  <c r="D7" i="8"/>
  <c r="E7" i="8" s="1"/>
  <c r="BR6" i="8"/>
  <c r="BC6" i="8"/>
  <c r="AZ6" i="8"/>
  <c r="AW6" i="8"/>
  <c r="AT6" i="8"/>
  <c r="AQ6" i="8"/>
  <c r="AN6" i="8"/>
  <c r="AK6" i="8"/>
  <c r="AH6" i="8"/>
  <c r="AE6" i="8"/>
  <c r="AB6" i="8"/>
  <c r="Y6" i="8"/>
  <c r="V6" i="8"/>
  <c r="S6" i="8"/>
  <c r="P6" i="8"/>
  <c r="M6" i="8"/>
  <c r="J6" i="8"/>
  <c r="G6" i="8"/>
  <c r="D6" i="8"/>
  <c r="E6" i="8" s="1"/>
  <c r="BR5" i="8"/>
  <c r="BC5" i="8"/>
  <c r="AZ5" i="8"/>
  <c r="AW5" i="8"/>
  <c r="AT5" i="8"/>
  <c r="AQ5" i="8"/>
  <c r="AN5" i="8"/>
  <c r="AK5" i="8"/>
  <c r="AH5" i="8"/>
  <c r="AE5" i="8"/>
  <c r="AB5" i="8"/>
  <c r="Y5" i="8"/>
  <c r="V5" i="8"/>
  <c r="S5" i="8"/>
  <c r="P5" i="8"/>
  <c r="M5" i="8"/>
  <c r="J5" i="8"/>
  <c r="G5" i="8"/>
  <c r="D5" i="8"/>
  <c r="E5" i="8" s="1"/>
  <c r="BR4" i="8"/>
  <c r="BC4" i="8"/>
  <c r="AZ4" i="8"/>
  <c r="AW4" i="8"/>
  <c r="AT4" i="8"/>
  <c r="AQ4" i="8"/>
  <c r="AR4" i="8" s="1"/>
  <c r="AN4" i="8"/>
  <c r="AK4" i="8"/>
  <c r="AH4" i="8"/>
  <c r="AE4" i="8"/>
  <c r="AB4" i="8"/>
  <c r="Y4" i="8"/>
  <c r="V4" i="8"/>
  <c r="S4" i="8"/>
  <c r="P4" i="8"/>
  <c r="M4" i="8"/>
  <c r="J4" i="8"/>
  <c r="G4" i="8"/>
  <c r="D4" i="8"/>
  <c r="E4" i="8" s="1"/>
  <c r="F3" i="8"/>
  <c r="I3" i="8" s="1"/>
  <c r="L3" i="8" s="1"/>
  <c r="O3" i="8" s="1"/>
  <c r="R3" i="8" s="1"/>
  <c r="U3" i="8" s="1"/>
  <c r="X3" i="8" s="1"/>
  <c r="AA3" i="8" s="1"/>
  <c r="AD3" i="8" s="1"/>
  <c r="AG3" i="8" s="1"/>
  <c r="AJ3" i="8" s="1"/>
  <c r="AM3" i="8" s="1"/>
  <c r="AP3" i="8" s="1"/>
  <c r="AS3" i="8" s="1"/>
  <c r="AV3" i="8" s="1"/>
  <c r="AY3" i="8" s="1"/>
  <c r="BB3" i="8" s="1"/>
  <c r="F2" i="8"/>
  <c r="I2" i="8" s="1"/>
  <c r="L2" i="8" s="1"/>
  <c r="O2" i="8" s="1"/>
  <c r="R2" i="8" s="1"/>
  <c r="U2" i="8" s="1"/>
  <c r="X2" i="8" s="1"/>
  <c r="AA2" i="8" s="1"/>
  <c r="AD2" i="8" s="1"/>
  <c r="AG2" i="8" s="1"/>
  <c r="AJ2" i="8" s="1"/>
  <c r="AM2" i="8" s="1"/>
  <c r="AP2" i="8" s="1"/>
  <c r="AS2" i="8" s="1"/>
  <c r="AV2" i="8" s="1"/>
  <c r="AY2" i="8" s="1"/>
  <c r="BB2" i="8" s="1"/>
  <c r="F1" i="8"/>
  <c r="I1" i="8" s="1"/>
  <c r="L1" i="8" s="1"/>
  <c r="O1" i="8" s="1"/>
  <c r="R1" i="8" s="1"/>
  <c r="U1" i="8" s="1"/>
  <c r="X1" i="8" s="1"/>
  <c r="AA1" i="8" s="1"/>
  <c r="AD1" i="8" s="1"/>
  <c r="AG1" i="8" s="1"/>
  <c r="AJ1" i="8" s="1"/>
  <c r="AM1" i="8" s="1"/>
  <c r="AP1" i="8" s="1"/>
  <c r="AS1" i="8" s="1"/>
  <c r="AV1" i="8" s="1"/>
  <c r="AY1" i="8" s="1"/>
  <c r="BB1" i="8" s="1"/>
  <c r="BR5" i="6"/>
  <c r="BR6" i="6"/>
  <c r="BR7" i="6"/>
  <c r="BR10" i="6"/>
  <c r="BR11" i="6"/>
  <c r="BR12" i="6"/>
  <c r="BR13" i="6"/>
  <c r="BR15" i="6"/>
  <c r="BR16" i="6"/>
  <c r="BR17" i="6"/>
  <c r="BR4" i="6"/>
  <c r="AX4" i="24" l="1"/>
  <c r="BA4" i="24" s="1"/>
  <c r="BA9" i="24"/>
  <c r="T5" i="24"/>
  <c r="AO9" i="22"/>
  <c r="AO8" i="22"/>
  <c r="AO4" i="22"/>
  <c r="AL7" i="21"/>
  <c r="BD4" i="20"/>
  <c r="AU7" i="20"/>
  <c r="Z6" i="20"/>
  <c r="Z7" i="20"/>
  <c r="AC7" i="20" s="1"/>
  <c r="AF7" i="20" s="1"/>
  <c r="Z8" i="20"/>
  <c r="AC8" i="20" s="1"/>
  <c r="AF8" i="20" s="1"/>
  <c r="AI8" i="20" s="1"/>
  <c r="Z5" i="20"/>
  <c r="AC5" i="20" s="1"/>
  <c r="AF5" i="20" s="1"/>
  <c r="AI5" i="20" s="1"/>
  <c r="Z9" i="20"/>
  <c r="AC4" i="20"/>
  <c r="AF4" i="20" s="1"/>
  <c r="AI4" i="20" s="1"/>
  <c r="AC9" i="20"/>
  <c r="AF9" i="20" s="1"/>
  <c r="AI9" i="20" s="1"/>
  <c r="AC6" i="20"/>
  <c r="AF6" i="20" s="1"/>
  <c r="AI6" i="20" s="1"/>
  <c r="K4" i="20"/>
  <c r="N4" i="20" s="1"/>
  <c r="Q4" i="20" s="1"/>
  <c r="T4" i="20" s="1"/>
  <c r="N5" i="20"/>
  <c r="Q5" i="20" s="1"/>
  <c r="T5" i="20" s="1"/>
  <c r="H6" i="20"/>
  <c r="K6" i="20" s="1"/>
  <c r="N6" i="20" s="1"/>
  <c r="Q6" i="20" s="1"/>
  <c r="T6" i="20" s="1"/>
  <c r="H7" i="20"/>
  <c r="K8" i="20"/>
  <c r="K9" i="20"/>
  <c r="N9" i="20" s="1"/>
  <c r="Q9" i="20" s="1"/>
  <c r="T9" i="20" s="1"/>
  <c r="K7" i="20"/>
  <c r="N7" i="20" s="1"/>
  <c r="Q7" i="20" s="1"/>
  <c r="T7" i="20" s="1"/>
  <c r="N8" i="20"/>
  <c r="Q8" i="20" s="1"/>
  <c r="T8" i="20" s="1"/>
  <c r="AI7" i="19"/>
  <c r="AI9" i="19"/>
  <c r="AF10" i="19"/>
  <c r="AI10" i="19" s="1"/>
  <c r="AC7" i="19"/>
  <c r="AF5" i="19"/>
  <c r="AF5" i="17"/>
  <c r="AI5" i="17" s="1"/>
  <c r="AL5" i="17" s="1"/>
  <c r="AO5" i="17" s="1"/>
  <c r="AR5" i="17" s="1"/>
  <c r="AU5" i="17" s="1"/>
  <c r="AX5" i="17" s="1"/>
  <c r="AJ2" i="15"/>
  <c r="AM2" i="15" s="1"/>
  <c r="AP2" i="15" s="1"/>
  <c r="AS2" i="15" s="1"/>
  <c r="AV2" i="15" s="1"/>
  <c r="AY2" i="15" s="1"/>
  <c r="BB2" i="15" s="1"/>
  <c r="W8" i="14"/>
  <c r="H4" i="11"/>
  <c r="H9" i="11"/>
  <c r="K9" i="11" s="1"/>
  <c r="N9" i="11" s="1"/>
  <c r="Q9" i="11" s="1"/>
  <c r="T9" i="11" s="1"/>
  <c r="W9" i="11" s="1"/>
  <c r="Z9" i="11" s="1"/>
  <c r="AC9" i="11" s="1"/>
  <c r="AF9" i="11" s="1"/>
  <c r="AI9" i="11" s="1"/>
  <c r="AL9" i="11" s="1"/>
  <c r="AO9" i="11" s="1"/>
  <c r="AR9" i="11" s="1"/>
  <c r="AU9" i="11" s="1"/>
  <c r="AX9" i="11" s="1"/>
  <c r="H5" i="11"/>
  <c r="K5" i="11" s="1"/>
  <c r="N5" i="11" s="1"/>
  <c r="Q5" i="11" s="1"/>
  <c r="T5" i="11" s="1"/>
  <c r="W5" i="11" s="1"/>
  <c r="Z5" i="11" s="1"/>
  <c r="AC5" i="11" s="1"/>
  <c r="AF5" i="11" s="1"/>
  <c r="AI5" i="11" s="1"/>
  <c r="AL5" i="11" s="1"/>
  <c r="AO5" i="11" s="1"/>
  <c r="AR5" i="11" s="1"/>
  <c r="AU5" i="11" s="1"/>
  <c r="AX5" i="11" s="1"/>
  <c r="K4" i="11"/>
  <c r="N4" i="11" s="1"/>
  <c r="Q4" i="11" s="1"/>
  <c r="T4" i="11" s="1"/>
  <c r="W4" i="11" s="1"/>
  <c r="Z4" i="11" s="1"/>
  <c r="AC4" i="11" s="1"/>
  <c r="AF4" i="11" s="1"/>
  <c r="AI4" i="11" s="1"/>
  <c r="AL4" i="11" s="1"/>
  <c r="AO4" i="11" s="1"/>
  <c r="AR4" i="11" s="1"/>
  <c r="AU4" i="11" s="1"/>
  <c r="AX4" i="11" s="1"/>
  <c r="H6" i="11"/>
  <c r="K6" i="11" s="1"/>
  <c r="N6" i="11" s="1"/>
  <c r="Q6" i="11" s="1"/>
  <c r="T6" i="11" s="1"/>
  <c r="W6" i="11" s="1"/>
  <c r="Z6" i="11" s="1"/>
  <c r="AC6" i="11" s="1"/>
  <c r="AF6" i="11" s="1"/>
  <c r="AI6" i="11" s="1"/>
  <c r="AL6" i="11" s="1"/>
  <c r="AO6" i="11" s="1"/>
  <c r="AR6" i="11" s="1"/>
  <c r="AU6" i="11" s="1"/>
  <c r="AX6" i="11" s="1"/>
  <c r="K8" i="11"/>
  <c r="N8" i="11" s="1"/>
  <c r="Q8" i="11" s="1"/>
  <c r="T8" i="11" s="1"/>
  <c r="W8" i="11" s="1"/>
  <c r="Z8" i="11" s="1"/>
  <c r="AC8" i="11" s="1"/>
  <c r="AF8" i="11" s="1"/>
  <c r="AI8" i="11" s="1"/>
  <c r="AL8" i="11" s="1"/>
  <c r="AO8" i="11" s="1"/>
  <c r="AR8" i="11" s="1"/>
  <c r="AU8" i="11" s="1"/>
  <c r="AX8" i="11" s="1"/>
  <c r="H7" i="11"/>
  <c r="K7" i="11" s="1"/>
  <c r="N7" i="11" s="1"/>
  <c r="Q7" i="11" s="1"/>
  <c r="T7" i="11" s="1"/>
  <c r="W7" i="11" s="1"/>
  <c r="Z7" i="11" s="1"/>
  <c r="AC7" i="11" s="1"/>
  <c r="AF7" i="11" s="1"/>
  <c r="AI7" i="11" s="1"/>
  <c r="AL7" i="11" s="1"/>
  <c r="AO7" i="11" s="1"/>
  <c r="AR7" i="11" s="1"/>
  <c r="AU7" i="11" s="1"/>
  <c r="AX7" i="11" s="1"/>
  <c r="AI11" i="10"/>
  <c r="AI9" i="10"/>
  <c r="AI10" i="10"/>
  <c r="AI5" i="10"/>
  <c r="AF6" i="10"/>
  <c r="AI6" i="10" s="1"/>
  <c r="H5" i="10"/>
  <c r="K6" i="10"/>
  <c r="N6" i="10" s="1"/>
  <c r="Q6" i="10" s="1"/>
  <c r="T6" i="10" s="1"/>
  <c r="H12" i="10"/>
  <c r="K5" i="10"/>
  <c r="K12" i="10"/>
  <c r="N12" i="10" s="1"/>
  <c r="Q12" i="10" s="1"/>
  <c r="T12" i="10" s="1"/>
  <c r="W12" i="10" s="1"/>
  <c r="Z12" i="10" s="1"/>
  <c r="N9" i="10"/>
  <c r="Q9" i="10" s="1"/>
  <c r="T9" i="10" s="1"/>
  <c r="W9" i="10" s="1"/>
  <c r="Z9" i="10" s="1"/>
  <c r="H10" i="10"/>
  <c r="K10" i="10" s="1"/>
  <c r="H4" i="10"/>
  <c r="K4" i="10" s="1"/>
  <c r="N8" i="10"/>
  <c r="Q8" i="10" s="1"/>
  <c r="T8" i="10" s="1"/>
  <c r="W8" i="10" s="1"/>
  <c r="N11" i="10"/>
  <c r="Q11" i="10" s="1"/>
  <c r="T11" i="10" s="1"/>
  <c r="W11" i="10" s="1"/>
  <c r="K9" i="10"/>
  <c r="N10" i="10"/>
  <c r="Q10" i="10" s="1"/>
  <c r="T10" i="10" s="1"/>
  <c r="W10" i="10" s="1"/>
  <c r="Z10" i="10" s="1"/>
  <c r="W6" i="10"/>
  <c r="K7" i="10"/>
  <c r="N7" i="10" s="1"/>
  <c r="Q7" i="10" s="1"/>
  <c r="T7" i="10" s="1"/>
  <c r="W7" i="10" s="1"/>
  <c r="N4" i="10"/>
  <c r="Q4" i="10" s="1"/>
  <c r="T4" i="10" s="1"/>
  <c r="W4" i="10" s="1"/>
  <c r="Z4" i="10" s="1"/>
  <c r="N5" i="10"/>
  <c r="Q5" i="10" s="1"/>
  <c r="T5" i="10" s="1"/>
  <c r="W5" i="10" s="1"/>
  <c r="Z5" i="10" s="1"/>
  <c r="AU7" i="8"/>
  <c r="AR8" i="8"/>
  <c r="H10" i="8"/>
  <c r="K10" i="8" s="1"/>
  <c r="N10" i="8" s="1"/>
  <c r="Q10" i="8" s="1"/>
  <c r="T10" i="8" s="1"/>
  <c r="W10" i="8" s="1"/>
  <c r="Z10" i="8" s="1"/>
  <c r="AC10" i="8" s="1"/>
  <c r="AF10" i="8" s="1"/>
  <c r="AI10" i="8" s="1"/>
  <c r="AL10" i="8" s="1"/>
  <c r="AO10" i="8" s="1"/>
  <c r="AR10" i="8" s="1"/>
  <c r="AX10" i="8" s="1"/>
  <c r="BA10" i="8" s="1"/>
  <c r="BD10" i="8" s="1"/>
  <c r="K13" i="8"/>
  <c r="N13" i="8" s="1"/>
  <c r="Q13" i="8" s="1"/>
  <c r="T13" i="8" s="1"/>
  <c r="W13" i="8" s="1"/>
  <c r="Z13" i="8" s="1"/>
  <c r="AC13" i="8" s="1"/>
  <c r="AF13" i="8" s="1"/>
  <c r="AI13" i="8" s="1"/>
  <c r="AL13" i="8" s="1"/>
  <c r="AO13" i="8" s="1"/>
  <c r="AU13" i="8" s="1"/>
  <c r="AX13" i="8" s="1"/>
  <c r="BA13" i="8" s="1"/>
  <c r="BD13" i="8" s="1"/>
  <c r="H4" i="8"/>
  <c r="K4" i="8" s="1"/>
  <c r="N4" i="8" s="1"/>
  <c r="Q4" i="8" s="1"/>
  <c r="T4" i="8" s="1"/>
  <c r="W4" i="8" s="1"/>
  <c r="Z4" i="8" s="1"/>
  <c r="AC4" i="8" s="1"/>
  <c r="AF4" i="8" s="1"/>
  <c r="AI4" i="8" s="1"/>
  <c r="AL4" i="8" s="1"/>
  <c r="AO4" i="8" s="1"/>
  <c r="AU4" i="8" s="1"/>
  <c r="AX4" i="8" s="1"/>
  <c r="BA4" i="8" s="1"/>
  <c r="BD4" i="8" s="1"/>
  <c r="H5" i="8"/>
  <c r="K5" i="8" s="1"/>
  <c r="N5" i="8" s="1"/>
  <c r="Q5" i="8" s="1"/>
  <c r="T5" i="8" s="1"/>
  <c r="W5" i="8" s="1"/>
  <c r="Z5" i="8" s="1"/>
  <c r="AC5" i="8" s="1"/>
  <c r="AF5" i="8" s="1"/>
  <c r="AI5" i="8" s="1"/>
  <c r="AL5" i="8" s="1"/>
  <c r="AO5" i="8" s="1"/>
  <c r="AR5" i="8" s="1"/>
  <c r="AX5" i="8" s="1"/>
  <c r="BA5" i="8" s="1"/>
  <c r="BD5" i="8" s="1"/>
  <c r="H7" i="8"/>
  <c r="K7" i="8" s="1"/>
  <c r="N7" i="8" s="1"/>
  <c r="Q7" i="8" s="1"/>
  <c r="T7" i="8" s="1"/>
  <c r="W7" i="8" s="1"/>
  <c r="Z7" i="8" s="1"/>
  <c r="AC7" i="8" s="1"/>
  <c r="AF7" i="8" s="1"/>
  <c r="AI7" i="8" s="1"/>
  <c r="AL7" i="8" s="1"/>
  <c r="AO7" i="8" s="1"/>
  <c r="AR7" i="8" s="1"/>
  <c r="AX7" i="8" s="1"/>
  <c r="BA7" i="8" s="1"/>
  <c r="BD7" i="8" s="1"/>
  <c r="H11" i="8"/>
  <c r="K11" i="8" s="1"/>
  <c r="N11" i="8" s="1"/>
  <c r="Q11" i="8" s="1"/>
  <c r="T11" i="8" s="1"/>
  <c r="W11" i="8" s="1"/>
  <c r="Z11" i="8" s="1"/>
  <c r="AC11" i="8" s="1"/>
  <c r="AF11" i="8" s="1"/>
  <c r="AI11" i="8" s="1"/>
  <c r="AL11" i="8" s="1"/>
  <c r="AO11" i="8" s="1"/>
  <c r="AU11" i="8" s="1"/>
  <c r="AX11" i="8" s="1"/>
  <c r="BA11" i="8" s="1"/>
  <c r="BD11" i="8" s="1"/>
  <c r="H8" i="8"/>
  <c r="K8" i="8" s="1"/>
  <c r="N8" i="8" s="1"/>
  <c r="Q8" i="8" s="1"/>
  <c r="T8" i="8" s="1"/>
  <c r="W8" i="8" s="1"/>
  <c r="Z8" i="8" s="1"/>
  <c r="AC8" i="8" s="1"/>
  <c r="AF8" i="8" s="1"/>
  <c r="AI8" i="8" s="1"/>
  <c r="AL8" i="8" s="1"/>
  <c r="AO8" i="8" s="1"/>
  <c r="AU8" i="8" s="1"/>
  <c r="AX8" i="8" s="1"/>
  <c r="BA8" i="8" s="1"/>
  <c r="BD8" i="8" s="1"/>
  <c r="H9" i="8"/>
  <c r="K9" i="8" s="1"/>
  <c r="N9" i="8" s="1"/>
  <c r="Q9" i="8" s="1"/>
  <c r="T9" i="8" s="1"/>
  <c r="W9" i="8" s="1"/>
  <c r="Z9" i="8" s="1"/>
  <c r="AC9" i="8" s="1"/>
  <c r="AF9" i="8" s="1"/>
  <c r="AI9" i="8" s="1"/>
  <c r="AL9" i="8" s="1"/>
  <c r="AO9" i="8" s="1"/>
  <c r="AR9" i="8" s="1"/>
  <c r="AX9" i="8" s="1"/>
  <c r="BA9" i="8" s="1"/>
  <c r="BD9" i="8" s="1"/>
  <c r="H6" i="8"/>
  <c r="K6" i="8" s="1"/>
  <c r="N6" i="8" s="1"/>
  <c r="Q6" i="8" s="1"/>
  <c r="T6" i="8" s="1"/>
  <c r="W6" i="8" s="1"/>
  <c r="Z6" i="8" s="1"/>
  <c r="AC6" i="8" s="1"/>
  <c r="AF6" i="8" s="1"/>
  <c r="AI6" i="8" s="1"/>
  <c r="AL6" i="8" s="1"/>
  <c r="AO6" i="8" s="1"/>
  <c r="H12" i="8"/>
  <c r="K12" i="8" s="1"/>
  <c r="N12" i="8" s="1"/>
  <c r="Q12" i="8" s="1"/>
  <c r="T12" i="8" s="1"/>
  <c r="W12" i="8" s="1"/>
  <c r="Z12" i="8" s="1"/>
  <c r="AC12" i="8" s="1"/>
  <c r="AF12" i="8" s="1"/>
  <c r="AI12" i="8" s="1"/>
  <c r="AL12" i="8" s="1"/>
  <c r="AO12" i="8" s="1"/>
  <c r="AR12" i="8" s="1"/>
  <c r="AX12" i="8" s="1"/>
  <c r="BA12" i="8" s="1"/>
  <c r="BD12" i="8" s="1"/>
  <c r="AE7" i="6"/>
  <c r="BB21" i="6"/>
  <c r="AY21" i="6"/>
  <c r="AV21" i="6"/>
  <c r="AS21" i="6"/>
  <c r="AP21" i="6"/>
  <c r="AM21" i="6"/>
  <c r="AJ21" i="6"/>
  <c r="AG21" i="6"/>
  <c r="AD21" i="6"/>
  <c r="AA21" i="6"/>
  <c r="X21" i="6"/>
  <c r="U21" i="6"/>
  <c r="R21" i="6"/>
  <c r="O21" i="6"/>
  <c r="L21" i="6"/>
  <c r="I21" i="6"/>
  <c r="F21" i="6"/>
  <c r="C21" i="6"/>
  <c r="BC17" i="6"/>
  <c r="AZ17" i="6"/>
  <c r="AW17" i="6"/>
  <c r="AT17" i="6"/>
  <c r="AQ17" i="6"/>
  <c r="AN17" i="6"/>
  <c r="AK17" i="6"/>
  <c r="AH17" i="6"/>
  <c r="AE17" i="6"/>
  <c r="AB17" i="6"/>
  <c r="Y17" i="6"/>
  <c r="V17" i="6"/>
  <c r="S17" i="6"/>
  <c r="P17" i="6"/>
  <c r="M17" i="6"/>
  <c r="J17" i="6"/>
  <c r="G17" i="6"/>
  <c r="D17" i="6"/>
  <c r="E17" i="6" s="1"/>
  <c r="BC16" i="6"/>
  <c r="AZ16" i="6"/>
  <c r="AW16" i="6"/>
  <c r="AT16" i="6"/>
  <c r="AQ16" i="6"/>
  <c r="AN16" i="6"/>
  <c r="AK16" i="6"/>
  <c r="AH16" i="6"/>
  <c r="AE16" i="6"/>
  <c r="AB16" i="6"/>
  <c r="Y16" i="6"/>
  <c r="V16" i="6"/>
  <c r="S16" i="6"/>
  <c r="P16" i="6"/>
  <c r="M16" i="6"/>
  <c r="J16" i="6"/>
  <c r="G16" i="6"/>
  <c r="D16" i="6"/>
  <c r="E16" i="6" s="1"/>
  <c r="BC15" i="6"/>
  <c r="AZ15" i="6"/>
  <c r="AW15" i="6"/>
  <c r="AT15" i="6"/>
  <c r="AQ15" i="6"/>
  <c r="AN15" i="6"/>
  <c r="AK15" i="6"/>
  <c r="AH15" i="6"/>
  <c r="AE15" i="6"/>
  <c r="AB15" i="6"/>
  <c r="Y15" i="6"/>
  <c r="V15" i="6"/>
  <c r="S15" i="6"/>
  <c r="P15" i="6"/>
  <c r="M15" i="6"/>
  <c r="J15" i="6"/>
  <c r="G15" i="6"/>
  <c r="D15" i="6"/>
  <c r="E15" i="6" s="1"/>
  <c r="BC14" i="6"/>
  <c r="AZ14" i="6"/>
  <c r="AW14" i="6"/>
  <c r="AT14" i="6"/>
  <c r="AQ14" i="6"/>
  <c r="AN14" i="6"/>
  <c r="AK14" i="6"/>
  <c r="AH14" i="6"/>
  <c r="AE14" i="6"/>
  <c r="AB14" i="6"/>
  <c r="Y14" i="6"/>
  <c r="V14" i="6"/>
  <c r="S14" i="6"/>
  <c r="P14" i="6"/>
  <c r="M14" i="6"/>
  <c r="J14" i="6"/>
  <c r="G14" i="6"/>
  <c r="D14" i="6"/>
  <c r="E14" i="6" s="1"/>
  <c r="H14" i="6" s="1"/>
  <c r="BC13" i="6"/>
  <c r="AZ13" i="6"/>
  <c r="AW13" i="6"/>
  <c r="AT13" i="6"/>
  <c r="AQ13" i="6"/>
  <c r="AN13" i="6"/>
  <c r="AK13" i="6"/>
  <c r="AH13" i="6"/>
  <c r="AE13" i="6"/>
  <c r="AB13" i="6"/>
  <c r="Y13" i="6"/>
  <c r="V13" i="6"/>
  <c r="S13" i="6"/>
  <c r="P13" i="6"/>
  <c r="M13" i="6"/>
  <c r="J13" i="6"/>
  <c r="G13" i="6"/>
  <c r="D13" i="6"/>
  <c r="E13" i="6" s="1"/>
  <c r="BC12" i="6"/>
  <c r="AZ12" i="6"/>
  <c r="AW12" i="6"/>
  <c r="AT12" i="6"/>
  <c r="AQ12" i="6"/>
  <c r="AN12" i="6"/>
  <c r="AK12" i="6"/>
  <c r="AH12" i="6"/>
  <c r="AE12" i="6"/>
  <c r="AB12" i="6"/>
  <c r="Y12" i="6"/>
  <c r="V12" i="6"/>
  <c r="S12" i="6"/>
  <c r="P12" i="6"/>
  <c r="M12" i="6"/>
  <c r="J12" i="6"/>
  <c r="G12" i="6"/>
  <c r="D12" i="6"/>
  <c r="E12" i="6" s="1"/>
  <c r="BC11" i="6"/>
  <c r="AZ11" i="6"/>
  <c r="AW11" i="6"/>
  <c r="AT11" i="6"/>
  <c r="AQ11" i="6"/>
  <c r="AN11" i="6"/>
  <c r="AK11" i="6"/>
  <c r="AH11" i="6"/>
  <c r="AE11" i="6"/>
  <c r="AB11" i="6"/>
  <c r="Y11" i="6"/>
  <c r="V11" i="6"/>
  <c r="S11" i="6"/>
  <c r="P11" i="6"/>
  <c r="M11" i="6"/>
  <c r="J11" i="6"/>
  <c r="G11" i="6"/>
  <c r="D11" i="6"/>
  <c r="E11" i="6" s="1"/>
  <c r="BC10" i="6"/>
  <c r="AZ10" i="6"/>
  <c r="AW10" i="6"/>
  <c r="AT10" i="6"/>
  <c r="AQ10" i="6"/>
  <c r="AN10" i="6"/>
  <c r="AK10" i="6"/>
  <c r="AH10" i="6"/>
  <c r="AE10" i="6"/>
  <c r="AB10" i="6"/>
  <c r="Y10" i="6"/>
  <c r="V10" i="6"/>
  <c r="S10" i="6"/>
  <c r="P10" i="6"/>
  <c r="M10" i="6"/>
  <c r="J10" i="6"/>
  <c r="G10" i="6"/>
  <c r="D10" i="6"/>
  <c r="E10" i="6" s="1"/>
  <c r="H10" i="6" s="1"/>
  <c r="BC9" i="6"/>
  <c r="AZ9" i="6"/>
  <c r="AW9" i="6"/>
  <c r="AT9" i="6"/>
  <c r="AQ9" i="6"/>
  <c r="AN9" i="6"/>
  <c r="AK9" i="6"/>
  <c r="AH9" i="6"/>
  <c r="AE9" i="6"/>
  <c r="AB9" i="6"/>
  <c r="Y9" i="6"/>
  <c r="V9" i="6"/>
  <c r="S9" i="6"/>
  <c r="P9" i="6"/>
  <c r="M9" i="6"/>
  <c r="J9" i="6"/>
  <c r="G9" i="6"/>
  <c r="D9" i="6"/>
  <c r="E9" i="6" s="1"/>
  <c r="H9" i="6" s="1"/>
  <c r="K9" i="6" s="1"/>
  <c r="N9" i="6" s="1"/>
  <c r="BC8" i="6"/>
  <c r="AZ8" i="6"/>
  <c r="AW8" i="6"/>
  <c r="AT8" i="6"/>
  <c r="AQ8" i="6"/>
  <c r="AN8" i="6"/>
  <c r="AK8" i="6"/>
  <c r="AH8" i="6"/>
  <c r="AE8" i="6"/>
  <c r="AB8" i="6"/>
  <c r="Y8" i="6"/>
  <c r="V8" i="6"/>
  <c r="S8" i="6"/>
  <c r="P8" i="6"/>
  <c r="M8" i="6"/>
  <c r="J8" i="6"/>
  <c r="G8" i="6"/>
  <c r="E8" i="6"/>
  <c r="D8" i="6"/>
  <c r="BC7" i="6"/>
  <c r="AZ7" i="6"/>
  <c r="AW7" i="6"/>
  <c r="AT7" i="6"/>
  <c r="AQ7" i="6"/>
  <c r="AN7" i="6"/>
  <c r="AK7" i="6"/>
  <c r="AH7" i="6"/>
  <c r="AB7" i="6"/>
  <c r="Y7" i="6"/>
  <c r="V7" i="6"/>
  <c r="S7" i="6"/>
  <c r="P7" i="6"/>
  <c r="M7" i="6"/>
  <c r="J7" i="6"/>
  <c r="G7" i="6"/>
  <c r="D7" i="6"/>
  <c r="E7" i="6" s="1"/>
  <c r="BC6" i="6"/>
  <c r="AZ6" i="6"/>
  <c r="AW6" i="6"/>
  <c r="AT6" i="6"/>
  <c r="AQ6" i="6"/>
  <c r="AN6" i="6"/>
  <c r="AK6" i="6"/>
  <c r="AH6" i="6"/>
  <c r="AE6" i="6"/>
  <c r="AB6" i="6"/>
  <c r="Y6" i="6"/>
  <c r="V6" i="6"/>
  <c r="S6" i="6"/>
  <c r="P6" i="6"/>
  <c r="M6" i="6"/>
  <c r="J6" i="6"/>
  <c r="G6" i="6"/>
  <c r="D6" i="6"/>
  <c r="E6" i="6" s="1"/>
  <c r="BC5" i="6"/>
  <c r="AZ5" i="6"/>
  <c r="AW5" i="6"/>
  <c r="AT5" i="6"/>
  <c r="AQ5" i="6"/>
  <c r="AN5" i="6"/>
  <c r="AK5" i="6"/>
  <c r="AH5" i="6"/>
  <c r="AE5" i="6"/>
  <c r="AB5" i="6"/>
  <c r="Y5" i="6"/>
  <c r="V5" i="6"/>
  <c r="S5" i="6"/>
  <c r="P5" i="6"/>
  <c r="M5" i="6"/>
  <c r="J5" i="6"/>
  <c r="G5" i="6"/>
  <c r="D5" i="6"/>
  <c r="E5" i="6" s="1"/>
  <c r="BC4" i="6"/>
  <c r="AZ4" i="6"/>
  <c r="AW4" i="6"/>
  <c r="AT4" i="6"/>
  <c r="AQ4" i="6"/>
  <c r="AN4" i="6"/>
  <c r="AK4" i="6"/>
  <c r="AH4" i="6"/>
  <c r="AE4" i="6"/>
  <c r="AB4" i="6"/>
  <c r="Y4" i="6"/>
  <c r="V4" i="6"/>
  <c r="S4" i="6"/>
  <c r="P4" i="6"/>
  <c r="M4" i="6"/>
  <c r="J4" i="6"/>
  <c r="G4" i="6"/>
  <c r="D4" i="6"/>
  <c r="E4" i="6" s="1"/>
  <c r="F3" i="6"/>
  <c r="I3" i="6" s="1"/>
  <c r="L3" i="6" s="1"/>
  <c r="O3" i="6" s="1"/>
  <c r="R3" i="6" s="1"/>
  <c r="U3" i="6" s="1"/>
  <c r="X3" i="6" s="1"/>
  <c r="AA3" i="6" s="1"/>
  <c r="AD3" i="6" s="1"/>
  <c r="AG3" i="6" s="1"/>
  <c r="AJ3" i="6" s="1"/>
  <c r="AM3" i="6" s="1"/>
  <c r="AP3" i="6" s="1"/>
  <c r="AS3" i="6" s="1"/>
  <c r="AV3" i="6" s="1"/>
  <c r="AY3" i="6" s="1"/>
  <c r="BB3" i="6" s="1"/>
  <c r="F2" i="6"/>
  <c r="I2" i="6" s="1"/>
  <c r="L2" i="6" s="1"/>
  <c r="O2" i="6" s="1"/>
  <c r="R2" i="6" s="1"/>
  <c r="U2" i="6" s="1"/>
  <c r="X2" i="6" s="1"/>
  <c r="AA2" i="6" s="1"/>
  <c r="AD2" i="6" s="1"/>
  <c r="AG2" i="6" s="1"/>
  <c r="AJ2" i="6" s="1"/>
  <c r="AM2" i="6" s="1"/>
  <c r="AP2" i="6" s="1"/>
  <c r="AS2" i="6" s="1"/>
  <c r="AV2" i="6" s="1"/>
  <c r="AY2" i="6" s="1"/>
  <c r="BB2" i="6" s="1"/>
  <c r="F1" i="6"/>
  <c r="I1" i="6" s="1"/>
  <c r="L1" i="6" s="1"/>
  <c r="O1" i="6" s="1"/>
  <c r="R1" i="6" s="1"/>
  <c r="U1" i="6" s="1"/>
  <c r="X1" i="6" s="1"/>
  <c r="AA1" i="6" s="1"/>
  <c r="AD1" i="6" s="1"/>
  <c r="AG1" i="6" s="1"/>
  <c r="AJ1" i="6" s="1"/>
  <c r="AM1" i="6" s="1"/>
  <c r="AP1" i="6" s="1"/>
  <c r="AS1" i="6" s="1"/>
  <c r="AV1" i="6" s="1"/>
  <c r="AY1" i="6" s="1"/>
  <c r="BB1" i="6" s="1"/>
  <c r="AY21" i="5"/>
  <c r="AV21" i="5"/>
  <c r="AJ21" i="5"/>
  <c r="AD21" i="5"/>
  <c r="X21" i="5"/>
  <c r="U21" i="5"/>
  <c r="R21" i="5"/>
  <c r="L21" i="5"/>
  <c r="BC17" i="5"/>
  <c r="AZ17" i="5"/>
  <c r="AW17" i="5"/>
  <c r="AT17" i="5"/>
  <c r="AQ17" i="5"/>
  <c r="AN17" i="5"/>
  <c r="AK17" i="5"/>
  <c r="AE17" i="5"/>
  <c r="AB17" i="5"/>
  <c r="Y17" i="5"/>
  <c r="V17" i="5"/>
  <c r="S17" i="5"/>
  <c r="P17" i="5"/>
  <c r="M17" i="5"/>
  <c r="J17" i="5"/>
  <c r="G17" i="5"/>
  <c r="D17" i="5"/>
  <c r="E17" i="5" s="1"/>
  <c r="BC16" i="5"/>
  <c r="AZ16" i="5"/>
  <c r="AW16" i="5"/>
  <c r="AT16" i="5"/>
  <c r="AQ16" i="5"/>
  <c r="AM21" i="5"/>
  <c r="AK16" i="5"/>
  <c r="AH16" i="5"/>
  <c r="AG21" i="5"/>
  <c r="AE16" i="5"/>
  <c r="AB16" i="5"/>
  <c r="Y16" i="5"/>
  <c r="V16" i="5"/>
  <c r="S16" i="5"/>
  <c r="P16" i="5"/>
  <c r="M16" i="5"/>
  <c r="J16" i="5"/>
  <c r="D16" i="5"/>
  <c r="E16" i="5" s="1"/>
  <c r="BC15" i="5"/>
  <c r="AZ15" i="5"/>
  <c r="AW15" i="5"/>
  <c r="AT15" i="5"/>
  <c r="AQ15" i="5"/>
  <c r="AN15" i="5"/>
  <c r="AK15" i="5"/>
  <c r="AH15" i="5"/>
  <c r="AE15" i="5"/>
  <c r="AB15" i="5"/>
  <c r="Y15" i="5"/>
  <c r="V15" i="5"/>
  <c r="S15" i="5"/>
  <c r="P15" i="5"/>
  <c r="M15" i="5"/>
  <c r="J15" i="5"/>
  <c r="G15" i="5"/>
  <c r="D15" i="5"/>
  <c r="E15" i="5" s="1"/>
  <c r="BC14" i="5"/>
  <c r="AZ14" i="5"/>
  <c r="AW14" i="5"/>
  <c r="AT14" i="5"/>
  <c r="AQ14" i="5"/>
  <c r="AN14" i="5"/>
  <c r="AK14" i="5"/>
  <c r="AH14" i="5"/>
  <c r="AE14" i="5"/>
  <c r="AB14" i="5"/>
  <c r="Y14" i="5"/>
  <c r="V14" i="5"/>
  <c r="S14" i="5"/>
  <c r="P14" i="5"/>
  <c r="M14" i="5"/>
  <c r="J14" i="5"/>
  <c r="G14" i="5"/>
  <c r="D14" i="5"/>
  <c r="E14" i="5" s="1"/>
  <c r="BC13" i="5"/>
  <c r="AZ13" i="5"/>
  <c r="AW13" i="5"/>
  <c r="AT13" i="5"/>
  <c r="AQ13" i="5"/>
  <c r="AN13" i="5"/>
  <c r="AK13" i="5"/>
  <c r="AH13" i="5"/>
  <c r="AE13" i="5"/>
  <c r="AB13" i="5"/>
  <c r="Y13" i="5"/>
  <c r="V13" i="5"/>
  <c r="S13" i="5"/>
  <c r="P13" i="5"/>
  <c r="M13" i="5"/>
  <c r="J13" i="5"/>
  <c r="G13" i="5"/>
  <c r="D13" i="5"/>
  <c r="E13" i="5" s="1"/>
  <c r="BC12" i="5"/>
  <c r="AZ12" i="5"/>
  <c r="AW12" i="5"/>
  <c r="AT12" i="5"/>
  <c r="AQ12" i="5"/>
  <c r="AP21" i="5"/>
  <c r="AN12" i="5"/>
  <c r="AK12" i="5"/>
  <c r="AH12" i="5"/>
  <c r="AE12" i="5"/>
  <c r="AB12" i="5"/>
  <c r="Y12" i="5"/>
  <c r="V12" i="5"/>
  <c r="S12" i="5"/>
  <c r="P12" i="5"/>
  <c r="M12" i="5"/>
  <c r="J12" i="5"/>
  <c r="G12" i="5"/>
  <c r="D12" i="5"/>
  <c r="E12" i="5" s="1"/>
  <c r="BC11" i="5"/>
  <c r="AZ11" i="5"/>
  <c r="AW11" i="5"/>
  <c r="AT11" i="5"/>
  <c r="AQ11" i="5"/>
  <c r="AN11" i="5"/>
  <c r="AK11" i="5"/>
  <c r="AH11" i="5"/>
  <c r="AE11" i="5"/>
  <c r="AB11" i="5"/>
  <c r="Y11" i="5"/>
  <c r="V11" i="5"/>
  <c r="S11" i="5"/>
  <c r="P11" i="5"/>
  <c r="M11" i="5"/>
  <c r="J11" i="5"/>
  <c r="G11" i="5"/>
  <c r="D11" i="5"/>
  <c r="E11" i="5" s="1"/>
  <c r="BC10" i="5"/>
  <c r="BB21" i="5"/>
  <c r="AZ10" i="5"/>
  <c r="AW10" i="5"/>
  <c r="AT10" i="5"/>
  <c r="AQ10" i="5"/>
  <c r="AN10" i="5"/>
  <c r="AK10" i="5"/>
  <c r="AH10" i="5"/>
  <c r="AE10" i="5"/>
  <c r="AB10" i="5"/>
  <c r="Y10" i="5"/>
  <c r="V10" i="5"/>
  <c r="S10" i="5"/>
  <c r="P10" i="5"/>
  <c r="M10" i="5"/>
  <c r="J10" i="5"/>
  <c r="G10" i="5"/>
  <c r="D10" i="5"/>
  <c r="E10" i="5" s="1"/>
  <c r="BC9" i="5"/>
  <c r="AZ9" i="5"/>
  <c r="AW9" i="5"/>
  <c r="AT9" i="5"/>
  <c r="AQ9" i="5"/>
  <c r="AN9" i="5"/>
  <c r="AK9" i="5"/>
  <c r="AH9" i="5"/>
  <c r="AE9" i="5"/>
  <c r="AB9" i="5"/>
  <c r="Y9" i="5"/>
  <c r="V9" i="5"/>
  <c r="S9" i="5"/>
  <c r="O21" i="5"/>
  <c r="M9" i="5"/>
  <c r="J9" i="5"/>
  <c r="G9" i="5"/>
  <c r="D9" i="5"/>
  <c r="E9" i="5" s="1"/>
  <c r="BC8" i="5"/>
  <c r="AZ8" i="5"/>
  <c r="AW8" i="5"/>
  <c r="AT8" i="5"/>
  <c r="AQ8" i="5"/>
  <c r="AN8" i="5"/>
  <c r="AK8" i="5"/>
  <c r="AH8" i="5"/>
  <c r="AE8" i="5"/>
  <c r="AB8" i="5"/>
  <c r="Y8" i="5"/>
  <c r="V8" i="5"/>
  <c r="S8" i="5"/>
  <c r="P8" i="5"/>
  <c r="M8" i="5"/>
  <c r="J8" i="5"/>
  <c r="G8" i="5"/>
  <c r="D8" i="5"/>
  <c r="E8" i="5" s="1"/>
  <c r="BC7" i="5"/>
  <c r="AZ7" i="5"/>
  <c r="AW7" i="5"/>
  <c r="AT7" i="5"/>
  <c r="AQ7" i="5"/>
  <c r="AN7" i="5"/>
  <c r="AK7" i="5"/>
  <c r="AH7" i="5"/>
  <c r="AE7" i="5"/>
  <c r="AB7" i="5"/>
  <c r="Y7" i="5"/>
  <c r="V7" i="5"/>
  <c r="S7" i="5"/>
  <c r="P7" i="5"/>
  <c r="M7" i="5"/>
  <c r="J7" i="5"/>
  <c r="G7" i="5"/>
  <c r="D7" i="5"/>
  <c r="E7" i="5" s="1"/>
  <c r="BC6" i="5"/>
  <c r="AZ6" i="5"/>
  <c r="AW6" i="5"/>
  <c r="AT6" i="5"/>
  <c r="AQ6" i="5"/>
  <c r="AN6" i="5"/>
  <c r="AK6" i="5"/>
  <c r="AH6" i="5"/>
  <c r="AE6" i="5"/>
  <c r="AB6" i="5"/>
  <c r="Y6" i="5"/>
  <c r="V6" i="5"/>
  <c r="S6" i="5"/>
  <c r="P6" i="5"/>
  <c r="M6" i="5"/>
  <c r="J6" i="5"/>
  <c r="I21" i="5"/>
  <c r="G6" i="5"/>
  <c r="C21" i="5"/>
  <c r="BC5" i="5"/>
  <c r="AZ5" i="5"/>
  <c r="AW5" i="5"/>
  <c r="AT5" i="5"/>
  <c r="AS21" i="5"/>
  <c r="AQ5" i="5"/>
  <c r="AN5" i="5"/>
  <c r="AK5" i="5"/>
  <c r="AH5" i="5"/>
  <c r="AE5" i="5"/>
  <c r="AA21" i="5"/>
  <c r="Y5" i="5"/>
  <c r="V5" i="5"/>
  <c r="S5" i="5"/>
  <c r="P5" i="5"/>
  <c r="M5" i="5"/>
  <c r="J5" i="5"/>
  <c r="G5" i="5"/>
  <c r="D5" i="5"/>
  <c r="E5" i="5" s="1"/>
  <c r="BC4" i="5"/>
  <c r="AZ4" i="5"/>
  <c r="AW4" i="5"/>
  <c r="AT4" i="5"/>
  <c r="AQ4" i="5"/>
  <c r="AN4" i="5"/>
  <c r="AK4" i="5"/>
  <c r="AH4" i="5"/>
  <c r="AE4" i="5"/>
  <c r="AB4" i="5"/>
  <c r="Y4" i="5"/>
  <c r="V4" i="5"/>
  <c r="S4" i="5"/>
  <c r="P4" i="5"/>
  <c r="M4" i="5"/>
  <c r="J4" i="5"/>
  <c r="G4" i="5"/>
  <c r="D4" i="5"/>
  <c r="E4" i="5" s="1"/>
  <c r="F3" i="5"/>
  <c r="I3" i="5" s="1"/>
  <c r="L3" i="5" s="1"/>
  <c r="O3" i="5" s="1"/>
  <c r="R3" i="5" s="1"/>
  <c r="U3" i="5" s="1"/>
  <c r="X3" i="5" s="1"/>
  <c r="AA3" i="5" s="1"/>
  <c r="AD3" i="5" s="1"/>
  <c r="AG3" i="5" s="1"/>
  <c r="AJ3" i="5" s="1"/>
  <c r="AM3" i="5" s="1"/>
  <c r="AP3" i="5" s="1"/>
  <c r="AS3" i="5" s="1"/>
  <c r="AV3" i="5" s="1"/>
  <c r="AY3" i="5" s="1"/>
  <c r="BB3" i="5" s="1"/>
  <c r="F2" i="5"/>
  <c r="I2" i="5" s="1"/>
  <c r="L2" i="5" s="1"/>
  <c r="O2" i="5" s="1"/>
  <c r="R2" i="5" s="1"/>
  <c r="U2" i="5" s="1"/>
  <c r="X2" i="5" s="1"/>
  <c r="AA2" i="5" s="1"/>
  <c r="AD2" i="5" s="1"/>
  <c r="AG2" i="5" s="1"/>
  <c r="AJ2" i="5" s="1"/>
  <c r="AM2" i="5" s="1"/>
  <c r="AP2" i="5" s="1"/>
  <c r="AS2" i="5" s="1"/>
  <c r="AV2" i="5" s="1"/>
  <c r="AY2" i="5" s="1"/>
  <c r="BB2" i="5" s="1"/>
  <c r="F1" i="5"/>
  <c r="I1" i="5" s="1"/>
  <c r="L1" i="5" s="1"/>
  <c r="O1" i="5" s="1"/>
  <c r="R1" i="5" s="1"/>
  <c r="U1" i="5" s="1"/>
  <c r="X1" i="5" s="1"/>
  <c r="AA1" i="5" s="1"/>
  <c r="AD1" i="5" s="1"/>
  <c r="AG1" i="5" s="1"/>
  <c r="AJ1" i="5" s="1"/>
  <c r="AM1" i="5" s="1"/>
  <c r="AP1" i="5" s="1"/>
  <c r="AS1" i="5" s="1"/>
  <c r="AV1" i="5" s="1"/>
  <c r="AY1" i="5" s="1"/>
  <c r="BB1" i="5" s="1"/>
  <c r="I23" i="5" a="1"/>
  <c r="I24" i="5" a="1"/>
  <c r="AU6" i="8" l="1"/>
  <c r="AX6" i="8" s="1"/>
  <c r="BA6" i="8" s="1"/>
  <c r="BD6" i="8" s="1"/>
  <c r="AR6" i="8"/>
  <c r="H4" i="5"/>
  <c r="K4" i="5" s="1"/>
  <c r="N4" i="5" s="1"/>
  <c r="Q4" i="5" s="1"/>
  <c r="T4" i="5" s="1"/>
  <c r="W4" i="5" s="1"/>
  <c r="Z4" i="5" s="1"/>
  <c r="AC4" i="5" s="1"/>
  <c r="AF4" i="5" s="1"/>
  <c r="AI4" i="5" s="1"/>
  <c r="AL4" i="5" s="1"/>
  <c r="AO4" i="5" s="1"/>
  <c r="AR4" i="5" s="1"/>
  <c r="H7" i="5"/>
  <c r="K7" i="5" s="1"/>
  <c r="N7" i="5" s="1"/>
  <c r="Q7" i="5" s="1"/>
  <c r="T7" i="5" s="1"/>
  <c r="W7" i="5" s="1"/>
  <c r="Z7" i="5" s="1"/>
  <c r="AC7" i="5" s="1"/>
  <c r="AF7" i="5" s="1"/>
  <c r="AI7" i="5" s="1"/>
  <c r="AL7" i="5" s="1"/>
  <c r="AO7" i="5" s="1"/>
  <c r="AR7" i="5" s="1"/>
  <c r="H14" i="5"/>
  <c r="K14" i="5" s="1"/>
  <c r="H5" i="6"/>
  <c r="K5" i="6" s="1"/>
  <c r="N5" i="6" s="1"/>
  <c r="Q5" i="6" s="1"/>
  <c r="T5" i="6" s="1"/>
  <c r="W5" i="6" s="1"/>
  <c r="Z5" i="6" s="1"/>
  <c r="AC5" i="6" s="1"/>
  <c r="AF5" i="6" s="1"/>
  <c r="AI5" i="6" s="1"/>
  <c r="AL5" i="6" s="1"/>
  <c r="AO5" i="6" s="1"/>
  <c r="AR5" i="6" s="1"/>
  <c r="AU5" i="6" s="1"/>
  <c r="AX5" i="6" s="1"/>
  <c r="BA5" i="6" s="1"/>
  <c r="BD5" i="6" s="1"/>
  <c r="H13" i="6"/>
  <c r="K13" i="6" s="1"/>
  <c r="H17" i="6"/>
  <c r="K17" i="6" s="1"/>
  <c r="N17" i="6" s="1"/>
  <c r="Q17" i="6" s="1"/>
  <c r="T17" i="6" s="1"/>
  <c r="W17" i="6" s="1"/>
  <c r="Z17" i="6" s="1"/>
  <c r="AC17" i="6" s="1"/>
  <c r="K10" i="6"/>
  <c r="N10" i="6" s="1"/>
  <c r="Q10" i="6" s="1"/>
  <c r="T10" i="6" s="1"/>
  <c r="W10" i="6" s="1"/>
  <c r="Z10" i="6" s="1"/>
  <c r="AC10" i="6" s="1"/>
  <c r="AF10" i="6" s="1"/>
  <c r="AI10" i="6" s="1"/>
  <c r="AL10" i="6" s="1"/>
  <c r="AO10" i="6" s="1"/>
  <c r="AR10" i="6" s="1"/>
  <c r="AU10" i="6" s="1"/>
  <c r="AX10" i="6" s="1"/>
  <c r="BA10" i="6" s="1"/>
  <c r="BD10" i="6" s="1"/>
  <c r="H11" i="5"/>
  <c r="K11" i="5" s="1"/>
  <c r="N11" i="5" s="1"/>
  <c r="Q11" i="5" s="1"/>
  <c r="T11" i="5" s="1"/>
  <c r="W11" i="5" s="1"/>
  <c r="Z11" i="5" s="1"/>
  <c r="AC11" i="5" s="1"/>
  <c r="AF11" i="5" s="1"/>
  <c r="AI11" i="5" s="1"/>
  <c r="AL11" i="5" s="1"/>
  <c r="AO11" i="5" s="1"/>
  <c r="AR11" i="5" s="1"/>
  <c r="H15" i="5"/>
  <c r="K15" i="5" s="1"/>
  <c r="N15" i="5" s="1"/>
  <c r="Q15" i="5" s="1"/>
  <c r="T15" i="5" s="1"/>
  <c r="W15" i="5" s="1"/>
  <c r="Z15" i="5" s="1"/>
  <c r="AC15" i="5" s="1"/>
  <c r="AF15" i="5" s="1"/>
  <c r="AI15" i="5" s="1"/>
  <c r="AL15" i="5" s="1"/>
  <c r="AO15" i="5" s="1"/>
  <c r="AR15" i="5" s="1"/>
  <c r="H12" i="5"/>
  <c r="K12" i="5" s="1"/>
  <c r="H16" i="6"/>
  <c r="H8" i="6"/>
  <c r="K8" i="6" s="1"/>
  <c r="N8" i="6" s="1"/>
  <c r="Q8" i="6" s="1"/>
  <c r="T8" i="6" s="1"/>
  <c r="W8" i="6" s="1"/>
  <c r="Z8" i="6" s="1"/>
  <c r="AC8" i="6" s="1"/>
  <c r="AF8" i="6" s="1"/>
  <c r="AI8" i="6" s="1"/>
  <c r="AL8" i="6" s="1"/>
  <c r="AO8" i="6" s="1"/>
  <c r="AR8" i="6" s="1"/>
  <c r="AU8" i="6" s="1"/>
  <c r="AX8" i="6" s="1"/>
  <c r="BA8" i="6" s="1"/>
  <c r="BD8" i="6" s="1"/>
  <c r="H15" i="6"/>
  <c r="K15" i="6" s="1"/>
  <c r="N15" i="6" s="1"/>
  <c r="Q15" i="6" s="1"/>
  <c r="T15" i="6" s="1"/>
  <c r="W15" i="6" s="1"/>
  <c r="Z15" i="6" s="1"/>
  <c r="AC15" i="6" s="1"/>
  <c r="AF15" i="6" s="1"/>
  <c r="AI15" i="6" s="1"/>
  <c r="AL15" i="6" s="1"/>
  <c r="AO15" i="6" s="1"/>
  <c r="AR15" i="6" s="1"/>
  <c r="AU15" i="6" s="1"/>
  <c r="AX15" i="6" s="1"/>
  <c r="BA15" i="6" s="1"/>
  <c r="BD15" i="6" s="1"/>
  <c r="N13" i="6"/>
  <c r="Q13" i="6" s="1"/>
  <c r="T13" i="6" s="1"/>
  <c r="W13" i="6" s="1"/>
  <c r="Z13" i="6" s="1"/>
  <c r="AC13" i="6" s="1"/>
  <c r="AF13" i="6" s="1"/>
  <c r="AI13" i="6" s="1"/>
  <c r="AL13" i="6" s="1"/>
  <c r="AO13" i="6" s="1"/>
  <c r="AR13" i="6" s="1"/>
  <c r="AU13" i="6" s="1"/>
  <c r="AX13" i="6" s="1"/>
  <c r="BA13" i="6" s="1"/>
  <c r="BD13" i="6" s="1"/>
  <c r="K16" i="6"/>
  <c r="N16" i="6" s="1"/>
  <c r="Q16" i="6" s="1"/>
  <c r="T16" i="6" s="1"/>
  <c r="W16" i="6" s="1"/>
  <c r="Z16" i="6" s="1"/>
  <c r="AC16" i="6" s="1"/>
  <c r="AF16" i="6" s="1"/>
  <c r="AI16" i="6" s="1"/>
  <c r="AL16" i="6" s="1"/>
  <c r="AO16" i="6" s="1"/>
  <c r="AR16" i="6" s="1"/>
  <c r="AU16" i="6" s="1"/>
  <c r="AX16" i="6" s="1"/>
  <c r="BA16" i="6" s="1"/>
  <c r="BD16" i="6" s="1"/>
  <c r="H4" i="6"/>
  <c r="K4" i="6" s="1"/>
  <c r="N4" i="6" s="1"/>
  <c r="Q4" i="6" s="1"/>
  <c r="T4" i="6" s="1"/>
  <c r="W4" i="6" s="1"/>
  <c r="Z4" i="6" s="1"/>
  <c r="AC4" i="6" s="1"/>
  <c r="AF4" i="6" s="1"/>
  <c r="AI4" i="6" s="1"/>
  <c r="AL4" i="6" s="1"/>
  <c r="AO4" i="6" s="1"/>
  <c r="AR4" i="6" s="1"/>
  <c r="AU4" i="6" s="1"/>
  <c r="AX4" i="6" s="1"/>
  <c r="BA4" i="6" s="1"/>
  <c r="BD4" i="6" s="1"/>
  <c r="H7" i="6"/>
  <c r="K7" i="6" s="1"/>
  <c r="N7" i="6" s="1"/>
  <c r="Q7" i="6" s="1"/>
  <c r="T7" i="6" s="1"/>
  <c r="W7" i="6" s="1"/>
  <c r="Z7" i="6" s="1"/>
  <c r="AC7" i="6" s="1"/>
  <c r="AF7" i="6" s="1"/>
  <c r="H12" i="6"/>
  <c r="H6" i="6"/>
  <c r="K6" i="6" s="1"/>
  <c r="N6" i="6" s="1"/>
  <c r="Q6" i="6" s="1"/>
  <c r="T6" i="6" s="1"/>
  <c r="W6" i="6" s="1"/>
  <c r="Z6" i="6" s="1"/>
  <c r="AC6" i="6" s="1"/>
  <c r="AF6" i="6" s="1"/>
  <c r="AI6" i="6" s="1"/>
  <c r="AL6" i="6" s="1"/>
  <c r="AO6" i="6" s="1"/>
  <c r="AR6" i="6" s="1"/>
  <c r="AU6" i="6" s="1"/>
  <c r="AX6" i="6" s="1"/>
  <c r="BA6" i="6" s="1"/>
  <c r="BD6" i="6" s="1"/>
  <c r="H11" i="6"/>
  <c r="K11" i="6" s="1"/>
  <c r="N11" i="6" s="1"/>
  <c r="Q11" i="6" s="1"/>
  <c r="T11" i="6" s="1"/>
  <c r="W11" i="6" s="1"/>
  <c r="Z11" i="6" s="1"/>
  <c r="AC11" i="6" s="1"/>
  <c r="AF11" i="6" s="1"/>
  <c r="AI11" i="6" s="1"/>
  <c r="AL11" i="6" s="1"/>
  <c r="AO11" i="6" s="1"/>
  <c r="AR11" i="6" s="1"/>
  <c r="AU11" i="6" s="1"/>
  <c r="AX11" i="6" s="1"/>
  <c r="BA11" i="6" s="1"/>
  <c r="BD11" i="6" s="1"/>
  <c r="K14" i="6"/>
  <c r="N14" i="6" s="1"/>
  <c r="Q14" i="6" s="1"/>
  <c r="T14" i="6" s="1"/>
  <c r="W14" i="6" s="1"/>
  <c r="Z14" i="6" s="1"/>
  <c r="AC14" i="6" s="1"/>
  <c r="AF14" i="6" s="1"/>
  <c r="AI14" i="6" s="1"/>
  <c r="AL14" i="6" s="1"/>
  <c r="AO14" i="6" s="1"/>
  <c r="AR14" i="6" s="1"/>
  <c r="AU14" i="6" s="1"/>
  <c r="AX14" i="6" s="1"/>
  <c r="BA14" i="6" s="1"/>
  <c r="BD14" i="6" s="1"/>
  <c r="Q9" i="6"/>
  <c r="T9" i="6" s="1"/>
  <c r="W9" i="6" s="1"/>
  <c r="Z9" i="6" s="1"/>
  <c r="AC9" i="6" s="1"/>
  <c r="AF9" i="6" s="1"/>
  <c r="AI9" i="6" s="1"/>
  <c r="AL9" i="6" s="1"/>
  <c r="AO9" i="6" s="1"/>
  <c r="AR9" i="6" s="1"/>
  <c r="AU9" i="6" s="1"/>
  <c r="AX9" i="6" s="1"/>
  <c r="BA9" i="6" s="1"/>
  <c r="BD9" i="6" s="1"/>
  <c r="K12" i="6"/>
  <c r="N12" i="6" s="1"/>
  <c r="Q12" i="6" s="1"/>
  <c r="T12" i="6" s="1"/>
  <c r="W12" i="6" s="1"/>
  <c r="Z12" i="6" s="1"/>
  <c r="AC12" i="6" s="1"/>
  <c r="AF12" i="6" s="1"/>
  <c r="AI12" i="6" s="1"/>
  <c r="AL12" i="6" s="1"/>
  <c r="AO12" i="6" s="1"/>
  <c r="AR12" i="6" s="1"/>
  <c r="AU12" i="6" s="1"/>
  <c r="AX12" i="6" s="1"/>
  <c r="BA12" i="6" s="1"/>
  <c r="BD12" i="6" s="1"/>
  <c r="I23" i="5"/>
  <c r="I24" i="5"/>
  <c r="H9" i="5"/>
  <c r="K9" i="5" s="1"/>
  <c r="N9" i="5" s="1"/>
  <c r="H10" i="5"/>
  <c r="K10" i="5" s="1"/>
  <c r="N10" i="5" s="1"/>
  <c r="Q10" i="5" s="1"/>
  <c r="T10" i="5" s="1"/>
  <c r="W10" i="5" s="1"/>
  <c r="Z10" i="5" s="1"/>
  <c r="AC10" i="5" s="1"/>
  <c r="AF10" i="5" s="1"/>
  <c r="AI10" i="5" s="1"/>
  <c r="AL10" i="5" s="1"/>
  <c r="AO10" i="5" s="1"/>
  <c r="AR10" i="5" s="1"/>
  <c r="H8" i="5"/>
  <c r="K8" i="5" s="1"/>
  <c r="N8" i="5" s="1"/>
  <c r="Q8" i="5" s="1"/>
  <c r="T8" i="5" s="1"/>
  <c r="W8" i="5" s="1"/>
  <c r="Z8" i="5" s="1"/>
  <c r="AC8" i="5" s="1"/>
  <c r="AF8" i="5" s="1"/>
  <c r="AI8" i="5" s="1"/>
  <c r="AL8" i="5" s="1"/>
  <c r="AO8" i="5" s="1"/>
  <c r="AR8" i="5" s="1"/>
  <c r="H13" i="5"/>
  <c r="K13" i="5" s="1"/>
  <c r="N13" i="5" s="1"/>
  <c r="Q13" i="5" s="1"/>
  <c r="T13" i="5" s="1"/>
  <c r="W13" i="5" s="1"/>
  <c r="Z13" i="5" s="1"/>
  <c r="AC13" i="5" s="1"/>
  <c r="AF13" i="5" s="1"/>
  <c r="AI13" i="5" s="1"/>
  <c r="AL13" i="5" s="1"/>
  <c r="AO13" i="5" s="1"/>
  <c r="AR13" i="5" s="1"/>
  <c r="H17" i="5"/>
  <c r="K17" i="5" s="1"/>
  <c r="N17" i="5" s="1"/>
  <c r="Q17" i="5" s="1"/>
  <c r="T17" i="5" s="1"/>
  <c r="W17" i="5" s="1"/>
  <c r="Z17" i="5" s="1"/>
  <c r="AC17" i="5" s="1"/>
  <c r="AF17" i="5" s="1"/>
  <c r="H5" i="5"/>
  <c r="K5" i="5" s="1"/>
  <c r="N5" i="5" s="1"/>
  <c r="Q5" i="5" s="1"/>
  <c r="T5" i="5" s="1"/>
  <c r="W5" i="5" s="1"/>
  <c r="Z5" i="5" s="1"/>
  <c r="N14" i="5"/>
  <c r="Q14" i="5" s="1"/>
  <c r="T14" i="5" s="1"/>
  <c r="W14" i="5" s="1"/>
  <c r="Z14" i="5" s="1"/>
  <c r="AC14" i="5" s="1"/>
  <c r="AF14" i="5" s="1"/>
  <c r="AI14" i="5" s="1"/>
  <c r="AL14" i="5" s="1"/>
  <c r="AO14" i="5" s="1"/>
  <c r="AR14" i="5" s="1"/>
  <c r="N12" i="5"/>
  <c r="Q12" i="5" s="1"/>
  <c r="T12" i="5" s="1"/>
  <c r="W12" i="5" s="1"/>
  <c r="Z12" i="5" s="1"/>
  <c r="AC12" i="5" s="1"/>
  <c r="AF12" i="5" s="1"/>
  <c r="AI12" i="5" s="1"/>
  <c r="AL12" i="5" s="1"/>
  <c r="AO12" i="5" s="1"/>
  <c r="AR12" i="5" s="1"/>
  <c r="G16" i="5"/>
  <c r="AN16" i="5"/>
  <c r="F21" i="5"/>
  <c r="AB5" i="5"/>
  <c r="P9" i="5"/>
  <c r="D6" i="5"/>
  <c r="E6" i="5" s="1"/>
  <c r="AH17" i="5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4" i="2"/>
  <c r="AG21" i="3"/>
  <c r="AH21" i="3" s="1"/>
  <c r="AG18" i="3"/>
  <c r="AA10" i="3"/>
  <c r="AB10" i="3" s="1"/>
  <c r="U14" i="3"/>
  <c r="V14" i="3" s="1"/>
  <c r="C12" i="3"/>
  <c r="C23" i="3" s="1"/>
  <c r="AY17" i="3"/>
  <c r="AJ17" i="3"/>
  <c r="AK17" i="3" s="1"/>
  <c r="AD17" i="3"/>
  <c r="AE17" i="3" s="1"/>
  <c r="X14" i="3"/>
  <c r="AA9" i="3"/>
  <c r="AB9" i="3" s="1"/>
  <c r="AA6" i="3"/>
  <c r="AA5" i="3"/>
  <c r="X6" i="3"/>
  <c r="X23" i="3" s="1"/>
  <c r="U8" i="3"/>
  <c r="V8" i="3" s="1"/>
  <c r="O14" i="3"/>
  <c r="O9" i="3"/>
  <c r="P9" i="3" s="1"/>
  <c r="I17" i="3"/>
  <c r="F17" i="3"/>
  <c r="G17" i="3" s="1"/>
  <c r="I9" i="3"/>
  <c r="BB23" i="3"/>
  <c r="AV23" i="3"/>
  <c r="AT21" i="3"/>
  <c r="AQ21" i="3"/>
  <c r="AN21" i="3"/>
  <c r="AK21" i="3"/>
  <c r="AE21" i="3"/>
  <c r="Y21" i="3"/>
  <c r="S21" i="3"/>
  <c r="P21" i="3"/>
  <c r="M21" i="3"/>
  <c r="J21" i="3"/>
  <c r="G21" i="3"/>
  <c r="D21" i="3"/>
  <c r="E21" i="3" s="1"/>
  <c r="BC20" i="3"/>
  <c r="AZ20" i="3"/>
  <c r="AW20" i="3"/>
  <c r="AT20" i="3"/>
  <c r="AQ20" i="3"/>
  <c r="AN20" i="3"/>
  <c r="AK20" i="3"/>
  <c r="AH20" i="3"/>
  <c r="AE20" i="3"/>
  <c r="Y20" i="3"/>
  <c r="V20" i="3"/>
  <c r="S20" i="3"/>
  <c r="P20" i="3"/>
  <c r="M20" i="3"/>
  <c r="J20" i="3"/>
  <c r="G20" i="3"/>
  <c r="D20" i="3"/>
  <c r="E20" i="3" s="1"/>
  <c r="AW19" i="3"/>
  <c r="AT19" i="3"/>
  <c r="AQ19" i="3"/>
  <c r="AN19" i="3"/>
  <c r="AK19" i="3"/>
  <c r="AH19" i="3"/>
  <c r="AE19" i="3"/>
  <c r="AB19" i="3"/>
  <c r="Y19" i="3"/>
  <c r="V19" i="3"/>
  <c r="S19" i="3"/>
  <c r="P19" i="3"/>
  <c r="M19" i="3"/>
  <c r="J19" i="3"/>
  <c r="D19" i="3"/>
  <c r="E19" i="3" s="1"/>
  <c r="BC18" i="3"/>
  <c r="AZ18" i="3"/>
  <c r="AW18" i="3"/>
  <c r="AT18" i="3"/>
  <c r="AQ18" i="3"/>
  <c r="AN18" i="3"/>
  <c r="AK18" i="3"/>
  <c r="AH18" i="3"/>
  <c r="AE18" i="3"/>
  <c r="AB18" i="3"/>
  <c r="Y18" i="3"/>
  <c r="V18" i="3"/>
  <c r="S18" i="3"/>
  <c r="P18" i="3"/>
  <c r="M18" i="3"/>
  <c r="J18" i="3"/>
  <c r="G18" i="3"/>
  <c r="D18" i="3"/>
  <c r="E18" i="3" s="1"/>
  <c r="BC17" i="3"/>
  <c r="AZ17" i="3"/>
  <c r="AW17" i="3"/>
  <c r="AT17" i="3"/>
  <c r="AQ17" i="3"/>
  <c r="AN17" i="3"/>
  <c r="AH17" i="3"/>
  <c r="AB17" i="3"/>
  <c r="Y17" i="3"/>
  <c r="V17" i="3"/>
  <c r="S17" i="3"/>
  <c r="P17" i="3"/>
  <c r="M17" i="3"/>
  <c r="J17" i="3"/>
  <c r="D17" i="3"/>
  <c r="E17" i="3" s="1"/>
  <c r="BC16" i="3"/>
  <c r="AZ16" i="3"/>
  <c r="AW16" i="3"/>
  <c r="AT16" i="3"/>
  <c r="AQ16" i="3"/>
  <c r="AN16" i="3"/>
  <c r="AK16" i="3"/>
  <c r="AH16" i="3"/>
  <c r="AE16" i="3"/>
  <c r="AB16" i="3"/>
  <c r="Y16" i="3"/>
  <c r="V16" i="3"/>
  <c r="S16" i="3"/>
  <c r="P16" i="3"/>
  <c r="M16" i="3"/>
  <c r="J16" i="3"/>
  <c r="G16" i="3"/>
  <c r="D16" i="3"/>
  <c r="E16" i="3" s="1"/>
  <c r="BC15" i="3"/>
  <c r="AZ15" i="3"/>
  <c r="AW15" i="3"/>
  <c r="AT15" i="3"/>
  <c r="AQ15" i="3"/>
  <c r="AN15" i="3"/>
  <c r="AK15" i="3"/>
  <c r="AH15" i="3"/>
  <c r="AE15" i="3"/>
  <c r="AB15" i="3"/>
  <c r="Y15" i="3"/>
  <c r="V15" i="3"/>
  <c r="S15" i="3"/>
  <c r="P15" i="3"/>
  <c r="M15" i="3"/>
  <c r="J15" i="3"/>
  <c r="G15" i="3"/>
  <c r="D15" i="3"/>
  <c r="E15" i="3" s="1"/>
  <c r="BC14" i="3"/>
  <c r="AZ14" i="3"/>
  <c r="AW14" i="3"/>
  <c r="AT14" i="3"/>
  <c r="AQ14" i="3"/>
  <c r="AH14" i="3"/>
  <c r="AB14" i="3"/>
  <c r="S14" i="3"/>
  <c r="G14" i="3"/>
  <c r="D14" i="3"/>
  <c r="E14" i="3" s="1"/>
  <c r="BC13" i="3"/>
  <c r="AZ13" i="3"/>
  <c r="AW13" i="3"/>
  <c r="AT13" i="3"/>
  <c r="AQ13" i="3"/>
  <c r="AK13" i="3"/>
  <c r="AH13" i="3"/>
  <c r="AE13" i="3"/>
  <c r="AB13" i="3"/>
  <c r="Y13" i="3"/>
  <c r="V13" i="3"/>
  <c r="S13" i="3"/>
  <c r="P13" i="3"/>
  <c r="M13" i="3"/>
  <c r="J13" i="3"/>
  <c r="G13" i="3"/>
  <c r="D13" i="3"/>
  <c r="E13" i="3" s="1"/>
  <c r="BC12" i="3"/>
  <c r="AZ12" i="3"/>
  <c r="AW12" i="3"/>
  <c r="AT12" i="3"/>
  <c r="AQ12" i="3"/>
  <c r="AN12" i="3"/>
  <c r="AK12" i="3"/>
  <c r="AH12" i="3"/>
  <c r="AE12" i="3"/>
  <c r="AB12" i="3"/>
  <c r="Y12" i="3"/>
  <c r="V12" i="3"/>
  <c r="S12" i="3"/>
  <c r="P12" i="3"/>
  <c r="M12" i="3"/>
  <c r="J12" i="3"/>
  <c r="G12" i="3"/>
  <c r="D12" i="3"/>
  <c r="E12" i="3" s="1"/>
  <c r="BC11" i="3"/>
  <c r="AZ11" i="3"/>
  <c r="AW11" i="3"/>
  <c r="AT11" i="3"/>
  <c r="AQ11" i="3"/>
  <c r="AN11" i="3"/>
  <c r="AK11" i="3"/>
  <c r="AH11" i="3"/>
  <c r="AE11" i="3"/>
  <c r="AB11" i="3"/>
  <c r="Y11" i="3"/>
  <c r="V11" i="3"/>
  <c r="S11" i="3"/>
  <c r="P11" i="3"/>
  <c r="M11" i="3"/>
  <c r="J11" i="3"/>
  <c r="G11" i="3"/>
  <c r="D11" i="3"/>
  <c r="E11" i="3" s="1"/>
  <c r="BC10" i="3"/>
  <c r="AZ10" i="3"/>
  <c r="AW10" i="3"/>
  <c r="AT10" i="3"/>
  <c r="AQ10" i="3"/>
  <c r="AN10" i="3"/>
  <c r="AK10" i="3"/>
  <c r="AH10" i="3"/>
  <c r="AE10" i="3"/>
  <c r="Y10" i="3"/>
  <c r="V10" i="3"/>
  <c r="S10" i="3"/>
  <c r="P10" i="3"/>
  <c r="M10" i="3"/>
  <c r="J10" i="3"/>
  <c r="G10" i="3"/>
  <c r="D10" i="3"/>
  <c r="E10" i="3" s="1"/>
  <c r="BC9" i="3"/>
  <c r="AZ9" i="3"/>
  <c r="AW9" i="3"/>
  <c r="AT9" i="3"/>
  <c r="AQ9" i="3"/>
  <c r="AN9" i="3"/>
  <c r="AK9" i="3"/>
  <c r="AH9" i="3"/>
  <c r="AE9" i="3"/>
  <c r="Y9" i="3"/>
  <c r="V9" i="3"/>
  <c r="M9" i="3"/>
  <c r="G9" i="3"/>
  <c r="D9" i="3"/>
  <c r="E9" i="3" s="1"/>
  <c r="BC8" i="3"/>
  <c r="AZ8" i="3"/>
  <c r="AW8" i="3"/>
  <c r="AT8" i="3"/>
  <c r="AN8" i="3"/>
  <c r="AK8" i="3"/>
  <c r="AH8" i="3"/>
  <c r="AE8" i="3"/>
  <c r="AB8" i="3"/>
  <c r="Y8" i="3"/>
  <c r="S8" i="3"/>
  <c r="P8" i="3"/>
  <c r="M8" i="3"/>
  <c r="J8" i="3"/>
  <c r="G8" i="3"/>
  <c r="D8" i="3"/>
  <c r="E8" i="3" s="1"/>
  <c r="BC7" i="3"/>
  <c r="AZ7" i="3"/>
  <c r="AW7" i="3"/>
  <c r="AT7" i="3"/>
  <c r="AQ7" i="3"/>
  <c r="AN7" i="3"/>
  <c r="AK7" i="3"/>
  <c r="AH7" i="3"/>
  <c r="AE7" i="3"/>
  <c r="AB7" i="3"/>
  <c r="Y7" i="3"/>
  <c r="S7" i="3"/>
  <c r="P7" i="3"/>
  <c r="M7" i="3"/>
  <c r="J7" i="3"/>
  <c r="G7" i="3"/>
  <c r="D7" i="3"/>
  <c r="E7" i="3" s="1"/>
  <c r="BC6" i="3"/>
  <c r="AW6" i="3"/>
  <c r="AN6" i="3"/>
  <c r="AH6" i="3"/>
  <c r="AE6" i="3"/>
  <c r="AB6" i="3"/>
  <c r="Y6" i="3"/>
  <c r="V6" i="3"/>
  <c r="S6" i="3"/>
  <c r="P6" i="3"/>
  <c r="M6" i="3"/>
  <c r="J6" i="3"/>
  <c r="G6" i="3"/>
  <c r="D6" i="3"/>
  <c r="E6" i="3" s="1"/>
  <c r="BC5" i="3"/>
  <c r="AZ5" i="3"/>
  <c r="AW5" i="3"/>
  <c r="AT5" i="3"/>
  <c r="AQ5" i="3"/>
  <c r="AN5" i="3"/>
  <c r="AK5" i="3"/>
  <c r="AH5" i="3"/>
  <c r="AE5" i="3"/>
  <c r="AB5" i="3"/>
  <c r="Y5" i="3"/>
  <c r="V5" i="3"/>
  <c r="S5" i="3"/>
  <c r="P5" i="3"/>
  <c r="M5" i="3"/>
  <c r="J5" i="3"/>
  <c r="G5" i="3"/>
  <c r="D5" i="3"/>
  <c r="E5" i="3" s="1"/>
  <c r="BC4" i="3"/>
  <c r="AZ4" i="3"/>
  <c r="AW4" i="3"/>
  <c r="AT4" i="3"/>
  <c r="AQ4" i="3"/>
  <c r="AN4" i="3"/>
  <c r="AK4" i="3"/>
  <c r="AH4" i="3"/>
  <c r="AE4" i="3"/>
  <c r="AB4" i="3"/>
  <c r="Y4" i="3"/>
  <c r="V4" i="3"/>
  <c r="S4" i="3"/>
  <c r="P4" i="3"/>
  <c r="M4" i="3"/>
  <c r="J4" i="3"/>
  <c r="D4" i="3"/>
  <c r="E4" i="3" s="1"/>
  <c r="F3" i="3"/>
  <c r="I3" i="3" s="1"/>
  <c r="L3" i="3" s="1"/>
  <c r="O3" i="3" s="1"/>
  <c r="R3" i="3" s="1"/>
  <c r="U3" i="3" s="1"/>
  <c r="X3" i="3" s="1"/>
  <c r="AA3" i="3" s="1"/>
  <c r="AD3" i="3" s="1"/>
  <c r="AG3" i="3" s="1"/>
  <c r="AJ3" i="3" s="1"/>
  <c r="AM3" i="3" s="1"/>
  <c r="AP3" i="3" s="1"/>
  <c r="AS3" i="3" s="1"/>
  <c r="AV3" i="3" s="1"/>
  <c r="AY3" i="3" s="1"/>
  <c r="F2" i="3"/>
  <c r="I2" i="3" s="1"/>
  <c r="L2" i="3" s="1"/>
  <c r="O2" i="3" s="1"/>
  <c r="R2" i="3" s="1"/>
  <c r="U2" i="3" s="1"/>
  <c r="X2" i="3" s="1"/>
  <c r="AA2" i="3" s="1"/>
  <c r="AD2" i="3" s="1"/>
  <c r="AG2" i="3" s="1"/>
  <c r="AJ2" i="3" s="1"/>
  <c r="AM2" i="3" s="1"/>
  <c r="AP2" i="3" s="1"/>
  <c r="AS2" i="3" s="1"/>
  <c r="AV2" i="3" s="1"/>
  <c r="AY2" i="3" s="1"/>
  <c r="BB2" i="3" s="1"/>
  <c r="F1" i="3"/>
  <c r="I1" i="3" s="1"/>
  <c r="L1" i="3" s="1"/>
  <c r="O1" i="3" s="1"/>
  <c r="R1" i="3" s="1"/>
  <c r="U1" i="3" s="1"/>
  <c r="X1" i="3" s="1"/>
  <c r="AA1" i="3" s="1"/>
  <c r="AD1" i="3" s="1"/>
  <c r="AG1" i="3" s="1"/>
  <c r="AJ1" i="3" s="1"/>
  <c r="AM1" i="3" s="1"/>
  <c r="AP1" i="3" s="1"/>
  <c r="AS1" i="3" s="1"/>
  <c r="AV1" i="3" s="1"/>
  <c r="AY1" i="3" s="1"/>
  <c r="BB1" i="3" s="1"/>
  <c r="BB10" i="2"/>
  <c r="BB22" i="2" s="1"/>
  <c r="AA9" i="2"/>
  <c r="AB9" i="2" s="1"/>
  <c r="AS5" i="2"/>
  <c r="AS22" i="2" s="1"/>
  <c r="AP17" i="2"/>
  <c r="AQ17" i="2" s="1"/>
  <c r="AP12" i="2"/>
  <c r="AQ12" i="2" s="1"/>
  <c r="AJ22" i="2"/>
  <c r="AM17" i="2"/>
  <c r="AG18" i="2"/>
  <c r="AG17" i="2"/>
  <c r="AD14" i="2"/>
  <c r="AD22" i="2" s="1"/>
  <c r="AA5" i="2"/>
  <c r="AB5" i="2" s="1"/>
  <c r="O9" i="2"/>
  <c r="O22" i="2" s="1"/>
  <c r="F17" i="2"/>
  <c r="F22" i="2" s="1"/>
  <c r="I6" i="2"/>
  <c r="I22" i="2" s="1"/>
  <c r="C6" i="2"/>
  <c r="D6" i="2" s="1"/>
  <c r="E6" i="2" s="1"/>
  <c r="D5" i="2"/>
  <c r="E5" i="2" s="1"/>
  <c r="D7" i="2"/>
  <c r="D8" i="2"/>
  <c r="E8" i="2" s="1"/>
  <c r="D9" i="2"/>
  <c r="E9" i="2" s="1"/>
  <c r="D10" i="2"/>
  <c r="E10" i="2" s="1"/>
  <c r="D11" i="2"/>
  <c r="E11" i="2" s="1"/>
  <c r="D12" i="2"/>
  <c r="D13" i="2"/>
  <c r="E13" i="2" s="1"/>
  <c r="D14" i="2"/>
  <c r="E14" i="2" s="1"/>
  <c r="D15" i="2"/>
  <c r="D16" i="2"/>
  <c r="E16" i="2" s="1"/>
  <c r="D17" i="2"/>
  <c r="E17" i="2" s="1"/>
  <c r="D18" i="2"/>
  <c r="E18" i="2" s="1"/>
  <c r="D19" i="2"/>
  <c r="E19" i="2" s="1"/>
  <c r="D20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B6" i="2"/>
  <c r="AB7" i="2"/>
  <c r="AB8" i="2"/>
  <c r="AB10" i="2"/>
  <c r="AB11" i="2"/>
  <c r="AB12" i="2"/>
  <c r="AB13" i="2"/>
  <c r="AB14" i="2"/>
  <c r="AB15" i="2"/>
  <c r="AB16" i="2"/>
  <c r="AB17" i="2"/>
  <c r="AB18" i="2"/>
  <c r="AB19" i="2"/>
  <c r="AB20" i="2"/>
  <c r="AE5" i="2"/>
  <c r="AE6" i="2"/>
  <c r="AE7" i="2"/>
  <c r="AE8" i="2"/>
  <c r="AE9" i="2"/>
  <c r="AE10" i="2"/>
  <c r="AE11" i="2"/>
  <c r="AE12" i="2"/>
  <c r="AE13" i="2"/>
  <c r="AE15" i="2"/>
  <c r="AE16" i="2"/>
  <c r="AE17" i="2"/>
  <c r="AE18" i="2"/>
  <c r="AE19" i="2"/>
  <c r="AE20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9" i="2"/>
  <c r="AH20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8" i="2"/>
  <c r="AN19" i="2"/>
  <c r="AN20" i="2"/>
  <c r="AQ5" i="2"/>
  <c r="AQ6" i="2"/>
  <c r="AQ7" i="2"/>
  <c r="AQ8" i="2"/>
  <c r="AQ9" i="2"/>
  <c r="AQ10" i="2"/>
  <c r="AQ11" i="2"/>
  <c r="AQ13" i="2"/>
  <c r="AQ14" i="2"/>
  <c r="AQ15" i="2"/>
  <c r="AQ16" i="2"/>
  <c r="AQ18" i="2"/>
  <c r="AQ19" i="2"/>
  <c r="AQ20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BC5" i="2"/>
  <c r="BC6" i="2"/>
  <c r="BC7" i="2"/>
  <c r="BC8" i="2"/>
  <c r="BC9" i="2"/>
  <c r="BC11" i="2"/>
  <c r="BC12" i="2"/>
  <c r="BC13" i="2"/>
  <c r="BC14" i="2"/>
  <c r="BC15" i="2"/>
  <c r="BC16" i="2"/>
  <c r="BC17" i="2"/>
  <c r="BC18" i="2"/>
  <c r="BC19" i="2"/>
  <c r="BC20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4" i="2"/>
  <c r="AY22" i="2"/>
  <c r="AV22" i="2"/>
  <c r="X22" i="2"/>
  <c r="U22" i="2"/>
  <c r="R22" i="2"/>
  <c r="L22" i="2"/>
  <c r="BC4" i="2"/>
  <c r="AW4" i="2"/>
  <c r="AT4" i="2"/>
  <c r="AQ4" i="2"/>
  <c r="AN4" i="2"/>
  <c r="AK4" i="2"/>
  <c r="AH4" i="2"/>
  <c r="AE4" i="2"/>
  <c r="AB4" i="2"/>
  <c r="Y4" i="2"/>
  <c r="V4" i="2"/>
  <c r="S4" i="2"/>
  <c r="P4" i="2"/>
  <c r="M4" i="2"/>
  <c r="J4" i="2"/>
  <c r="G4" i="2"/>
  <c r="E20" i="2"/>
  <c r="E15" i="2"/>
  <c r="H15" i="2" s="1"/>
  <c r="E12" i="2"/>
  <c r="H12" i="2" s="1"/>
  <c r="E7" i="2"/>
  <c r="H7" i="2" s="1"/>
  <c r="D4" i="2"/>
  <c r="E4" i="2" s="1"/>
  <c r="H4" i="2" s="1"/>
  <c r="D7" i="1"/>
  <c r="BF5" i="2"/>
  <c r="BG5" i="2"/>
  <c r="BF6" i="2"/>
  <c r="BG6" i="2"/>
  <c r="BF7" i="2"/>
  <c r="BG7" i="2"/>
  <c r="BF8" i="2"/>
  <c r="BG8" i="2"/>
  <c r="BF9" i="2"/>
  <c r="BG9" i="2"/>
  <c r="BF10" i="2"/>
  <c r="BG10" i="2"/>
  <c r="BF11" i="2"/>
  <c r="BG11" i="2"/>
  <c r="BF12" i="2"/>
  <c r="BG12" i="2"/>
  <c r="BF13" i="2"/>
  <c r="BG13" i="2"/>
  <c r="BF14" i="2"/>
  <c r="BG14" i="2"/>
  <c r="BF15" i="2"/>
  <c r="BG15" i="2"/>
  <c r="BF16" i="2"/>
  <c r="BG16" i="2"/>
  <c r="BF17" i="2"/>
  <c r="BG17" i="2"/>
  <c r="BF18" i="2"/>
  <c r="BG18" i="2"/>
  <c r="BF19" i="2"/>
  <c r="BG19" i="2"/>
  <c r="BF20" i="2"/>
  <c r="BG20" i="2"/>
  <c r="BG4" i="2"/>
  <c r="BF4" i="2"/>
  <c r="F3" i="2"/>
  <c r="I3" i="2" s="1"/>
  <c r="L3" i="2" s="1"/>
  <c r="O3" i="2" s="1"/>
  <c r="R3" i="2" s="1"/>
  <c r="U3" i="2" s="1"/>
  <c r="X3" i="2" s="1"/>
  <c r="AA3" i="2" s="1"/>
  <c r="AD3" i="2" s="1"/>
  <c r="AG3" i="2" s="1"/>
  <c r="AJ3" i="2" s="1"/>
  <c r="AM3" i="2" s="1"/>
  <c r="AP3" i="2" s="1"/>
  <c r="AS3" i="2" s="1"/>
  <c r="AV3" i="2" s="1"/>
  <c r="AY3" i="2" s="1"/>
  <c r="BB3" i="2" s="1"/>
  <c r="BK3" i="2" s="1"/>
  <c r="F1" i="2"/>
  <c r="I1" i="2" s="1"/>
  <c r="L1" i="2" s="1"/>
  <c r="O1" i="2" s="1"/>
  <c r="R1" i="2" s="1"/>
  <c r="U1" i="2" s="1"/>
  <c r="X1" i="2" s="1"/>
  <c r="AA1" i="2" s="1"/>
  <c r="AD1" i="2" s="1"/>
  <c r="AG1" i="2" s="1"/>
  <c r="AJ1" i="2" s="1"/>
  <c r="AM1" i="2" s="1"/>
  <c r="AP1" i="2" s="1"/>
  <c r="AS1" i="2" s="1"/>
  <c r="AV1" i="2" s="1"/>
  <c r="AY1" i="2" s="1"/>
  <c r="BB1" i="2" s="1"/>
  <c r="F2" i="2"/>
  <c r="I2" i="2" s="1"/>
  <c r="L2" i="2" s="1"/>
  <c r="O2" i="2" s="1"/>
  <c r="R2" i="2" s="1"/>
  <c r="U2" i="2" s="1"/>
  <c r="X2" i="2" s="1"/>
  <c r="AA2" i="2" s="1"/>
  <c r="AD2" i="2" s="1"/>
  <c r="AG2" i="2" s="1"/>
  <c r="AJ2" i="2" s="1"/>
  <c r="AM2" i="2" s="1"/>
  <c r="AP2" i="2" s="1"/>
  <c r="AS2" i="2" s="1"/>
  <c r="AV2" i="2" s="1"/>
  <c r="AY2" i="2" s="1"/>
  <c r="BB2" i="2" s="1"/>
  <c r="BB21" i="1"/>
  <c r="BB19" i="1"/>
  <c r="BC19" i="1" s="1"/>
  <c r="AY21" i="1"/>
  <c r="AZ21" i="1" s="1"/>
  <c r="AY19" i="1"/>
  <c r="AY6" i="1"/>
  <c r="AV21" i="1"/>
  <c r="AV19" i="1"/>
  <c r="AW19" i="1" s="1"/>
  <c r="AV4" i="1"/>
  <c r="I19" i="1"/>
  <c r="F19" i="1"/>
  <c r="G19" i="1" s="1"/>
  <c r="C19" i="1"/>
  <c r="D19" i="1" s="1"/>
  <c r="E19" i="1" s="1"/>
  <c r="AM14" i="1"/>
  <c r="AN14" i="1" s="1"/>
  <c r="AJ14" i="1"/>
  <c r="AK14" i="1" s="1"/>
  <c r="AG14" i="1"/>
  <c r="AD14" i="1"/>
  <c r="AA14" i="1"/>
  <c r="AB14" i="1" s="1"/>
  <c r="X14" i="1"/>
  <c r="U14" i="1"/>
  <c r="V14" i="1" s="1"/>
  <c r="R14" i="1"/>
  <c r="O14" i="1"/>
  <c r="P14" i="1" s="1"/>
  <c r="L14" i="1"/>
  <c r="L27" i="1" s="1"/>
  <c r="I14" i="1"/>
  <c r="F14" i="1"/>
  <c r="G14" i="1" s="1"/>
  <c r="C14" i="1"/>
  <c r="AS19" i="1"/>
  <c r="AS6" i="1"/>
  <c r="AS27" i="1" s="1"/>
  <c r="BF5" i="1"/>
  <c r="BG5" i="1"/>
  <c r="BF6" i="1"/>
  <c r="BG6" i="1"/>
  <c r="BF7" i="1"/>
  <c r="BG7" i="1"/>
  <c r="BF8" i="1"/>
  <c r="BG8" i="1"/>
  <c r="BF9" i="1"/>
  <c r="BG9" i="1"/>
  <c r="BF10" i="1"/>
  <c r="BG10" i="1"/>
  <c r="BF11" i="1"/>
  <c r="BG11" i="1"/>
  <c r="BF12" i="1"/>
  <c r="BG12" i="1"/>
  <c r="BF13" i="1"/>
  <c r="BG13" i="1"/>
  <c r="BF14" i="1"/>
  <c r="BG14" i="1"/>
  <c r="BF15" i="1"/>
  <c r="BG15" i="1"/>
  <c r="BF16" i="1"/>
  <c r="BG16" i="1"/>
  <c r="BF17" i="1"/>
  <c r="BG17" i="1"/>
  <c r="BF18" i="1"/>
  <c r="BG18" i="1"/>
  <c r="BF19" i="1"/>
  <c r="BG19" i="1"/>
  <c r="BF20" i="1"/>
  <c r="BG20" i="1"/>
  <c r="BF21" i="1"/>
  <c r="BG21" i="1"/>
  <c r="BF22" i="1"/>
  <c r="BG22" i="1"/>
  <c r="BF23" i="1"/>
  <c r="BG23" i="1"/>
  <c r="BF24" i="1"/>
  <c r="BG24" i="1"/>
  <c r="BF25" i="1"/>
  <c r="BG25" i="1"/>
  <c r="BG4" i="1"/>
  <c r="BF4" i="1"/>
  <c r="AP17" i="1"/>
  <c r="AM22" i="1"/>
  <c r="AD16" i="1"/>
  <c r="AD27" i="1" s="1"/>
  <c r="AA20" i="1"/>
  <c r="AB20" i="1" s="1"/>
  <c r="AA17" i="1"/>
  <c r="AB17" i="1" s="1"/>
  <c r="AP8" i="1"/>
  <c r="AQ8" i="1" s="1"/>
  <c r="AP11" i="1"/>
  <c r="AQ11" i="1" s="1"/>
  <c r="AP15" i="1"/>
  <c r="AQ15" i="1" s="1"/>
  <c r="AP19" i="1"/>
  <c r="AM21" i="1"/>
  <c r="AN21" i="1" s="1"/>
  <c r="AM13" i="1"/>
  <c r="AJ6" i="1"/>
  <c r="AG17" i="1"/>
  <c r="AH17" i="1" s="1"/>
  <c r="AH14" i="1"/>
  <c r="AA21" i="1"/>
  <c r="AB21" i="1" s="1"/>
  <c r="AA19" i="1"/>
  <c r="AB19" i="1" s="1"/>
  <c r="X16" i="1"/>
  <c r="X19" i="1"/>
  <c r="Y19" i="1" s="1"/>
  <c r="U21" i="1"/>
  <c r="U7" i="1"/>
  <c r="S14" i="1"/>
  <c r="R9" i="1"/>
  <c r="O9" i="1"/>
  <c r="AQ17" i="1"/>
  <c r="AP6" i="1"/>
  <c r="AQ6" i="1" s="1"/>
  <c r="F4" i="1"/>
  <c r="G4" i="1" s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20" i="1"/>
  <c r="BC22" i="1"/>
  <c r="BC23" i="1"/>
  <c r="BC24" i="1"/>
  <c r="BC25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20" i="1"/>
  <c r="AZ22" i="1"/>
  <c r="AZ23" i="1"/>
  <c r="AZ24" i="1"/>
  <c r="AZ25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20" i="1"/>
  <c r="AW21" i="1"/>
  <c r="AW22" i="1"/>
  <c r="AW23" i="1"/>
  <c r="AW24" i="1"/>
  <c r="AW25" i="1"/>
  <c r="AT5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Q5" i="1"/>
  <c r="AQ7" i="1"/>
  <c r="AQ9" i="1"/>
  <c r="AQ10" i="1"/>
  <c r="AQ12" i="1"/>
  <c r="AQ13" i="1"/>
  <c r="AQ14" i="1"/>
  <c r="AQ16" i="1"/>
  <c r="AQ18" i="1"/>
  <c r="AQ19" i="1"/>
  <c r="AQ20" i="1"/>
  <c r="AQ21" i="1"/>
  <c r="AQ22" i="1"/>
  <c r="AQ23" i="1"/>
  <c r="AQ24" i="1"/>
  <c r="AQ25" i="1"/>
  <c r="AN5" i="1"/>
  <c r="AN6" i="1"/>
  <c r="AN7" i="1"/>
  <c r="AN8" i="1"/>
  <c r="AN9" i="1"/>
  <c r="AN10" i="1"/>
  <c r="AN11" i="1"/>
  <c r="AN12" i="1"/>
  <c r="AN15" i="1"/>
  <c r="AN16" i="1"/>
  <c r="AN17" i="1"/>
  <c r="AN18" i="1"/>
  <c r="AN19" i="1"/>
  <c r="AN20" i="1"/>
  <c r="AN22" i="1"/>
  <c r="AN23" i="1"/>
  <c r="AN24" i="1"/>
  <c r="AN25" i="1"/>
  <c r="AK5" i="1"/>
  <c r="AK7" i="1"/>
  <c r="AK8" i="1"/>
  <c r="AK9" i="1"/>
  <c r="AK10" i="1"/>
  <c r="AK11" i="1"/>
  <c r="AK12" i="1"/>
  <c r="AK13" i="1"/>
  <c r="AK15" i="1"/>
  <c r="AK16" i="1"/>
  <c r="AK17" i="1"/>
  <c r="AK18" i="1"/>
  <c r="AK19" i="1"/>
  <c r="AK20" i="1"/>
  <c r="AK21" i="1"/>
  <c r="AK22" i="1"/>
  <c r="AK23" i="1"/>
  <c r="AK24" i="1"/>
  <c r="AK25" i="1"/>
  <c r="AH5" i="1"/>
  <c r="AH6" i="1"/>
  <c r="AH7" i="1"/>
  <c r="AH8" i="1"/>
  <c r="AH9" i="1"/>
  <c r="AH10" i="1"/>
  <c r="AH11" i="1"/>
  <c r="AH12" i="1"/>
  <c r="AH13" i="1"/>
  <c r="AH15" i="1"/>
  <c r="AH16" i="1"/>
  <c r="AH18" i="1"/>
  <c r="AH19" i="1"/>
  <c r="AH20" i="1"/>
  <c r="AH21" i="1"/>
  <c r="AH22" i="1"/>
  <c r="AH23" i="1"/>
  <c r="AH24" i="1"/>
  <c r="AH25" i="1"/>
  <c r="AE5" i="1"/>
  <c r="AE6" i="1"/>
  <c r="AE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B5" i="1"/>
  <c r="AB6" i="1"/>
  <c r="AB7" i="1"/>
  <c r="AB8" i="1"/>
  <c r="AB9" i="1"/>
  <c r="AB10" i="1"/>
  <c r="AB11" i="1"/>
  <c r="AB12" i="1"/>
  <c r="AB13" i="1"/>
  <c r="AB15" i="1"/>
  <c r="AB16" i="1"/>
  <c r="AB18" i="1"/>
  <c r="AB22" i="1"/>
  <c r="AB23" i="1"/>
  <c r="AB24" i="1"/>
  <c r="AB25" i="1"/>
  <c r="Y5" i="1"/>
  <c r="Y6" i="1"/>
  <c r="Y7" i="1"/>
  <c r="Y8" i="1"/>
  <c r="Y9" i="1"/>
  <c r="Y10" i="1"/>
  <c r="Y11" i="1"/>
  <c r="Y12" i="1"/>
  <c r="Y13" i="1"/>
  <c r="Y15" i="1"/>
  <c r="Y16" i="1"/>
  <c r="Y17" i="1"/>
  <c r="Y18" i="1"/>
  <c r="Y20" i="1"/>
  <c r="Y21" i="1"/>
  <c r="Y22" i="1"/>
  <c r="Y23" i="1"/>
  <c r="Y24" i="1"/>
  <c r="Y25" i="1"/>
  <c r="V5" i="1"/>
  <c r="V6" i="1"/>
  <c r="V8" i="1"/>
  <c r="V9" i="1"/>
  <c r="V10" i="1"/>
  <c r="V11" i="1"/>
  <c r="V12" i="1"/>
  <c r="V13" i="1"/>
  <c r="V15" i="1"/>
  <c r="V16" i="1"/>
  <c r="V17" i="1"/>
  <c r="V18" i="1"/>
  <c r="V19" i="1"/>
  <c r="V20" i="1"/>
  <c r="V22" i="1"/>
  <c r="V23" i="1"/>
  <c r="V24" i="1"/>
  <c r="V25" i="1"/>
  <c r="S5" i="1"/>
  <c r="S6" i="1"/>
  <c r="S7" i="1"/>
  <c r="S8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P5" i="1"/>
  <c r="P6" i="1"/>
  <c r="P7" i="1"/>
  <c r="P8" i="1"/>
  <c r="P10" i="1"/>
  <c r="P11" i="1"/>
  <c r="P12" i="1"/>
  <c r="P13" i="1"/>
  <c r="P15" i="1"/>
  <c r="P16" i="1"/>
  <c r="P17" i="1"/>
  <c r="P18" i="1"/>
  <c r="P19" i="1"/>
  <c r="P20" i="1"/>
  <c r="P21" i="1"/>
  <c r="P22" i="1"/>
  <c r="P23" i="1"/>
  <c r="P24" i="1"/>
  <c r="P25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20" i="1"/>
  <c r="G21" i="1"/>
  <c r="G22" i="1"/>
  <c r="G23" i="1"/>
  <c r="G24" i="1"/>
  <c r="G25" i="1"/>
  <c r="D4" i="1"/>
  <c r="E4" i="1" s="1"/>
  <c r="J4" i="1"/>
  <c r="M4" i="1"/>
  <c r="S4" i="1"/>
  <c r="V4" i="1"/>
  <c r="Y4" i="1"/>
  <c r="AB4" i="1"/>
  <c r="AE4" i="1"/>
  <c r="AH4" i="1"/>
  <c r="AK4" i="1"/>
  <c r="AN4" i="1"/>
  <c r="AQ4" i="1"/>
  <c r="BC4" i="1"/>
  <c r="AZ4" i="1"/>
  <c r="AW4" i="1"/>
  <c r="AT4" i="1"/>
  <c r="D6" i="1"/>
  <c r="E6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5" i="1"/>
  <c r="D16" i="1"/>
  <c r="E16" i="1" s="1"/>
  <c r="D17" i="1"/>
  <c r="E17" i="1" s="1"/>
  <c r="D18" i="1"/>
  <c r="E18" i="1" s="1"/>
  <c r="D20" i="1"/>
  <c r="E20" i="1" s="1"/>
  <c r="D21" i="1"/>
  <c r="D22" i="1"/>
  <c r="D23" i="1"/>
  <c r="D24" i="1"/>
  <c r="E24" i="1" s="1"/>
  <c r="D25" i="1"/>
  <c r="E25" i="1" s="1"/>
  <c r="D5" i="1"/>
  <c r="E5" i="1" s="1"/>
  <c r="H5" i="1" s="1"/>
  <c r="F1" i="1"/>
  <c r="F2" i="1"/>
  <c r="I2" i="1" s="1"/>
  <c r="L2" i="1" s="1"/>
  <c r="O2" i="1" s="1"/>
  <c r="R2" i="1" s="1"/>
  <c r="U2" i="1" s="1"/>
  <c r="X2" i="1" s="1"/>
  <c r="AA2" i="1" s="1"/>
  <c r="AD2" i="1" s="1"/>
  <c r="AG2" i="1" s="1"/>
  <c r="AJ2" i="1" s="1"/>
  <c r="AM2" i="1" s="1"/>
  <c r="AP2" i="1" s="1"/>
  <c r="AS2" i="1" s="1"/>
  <c r="AV2" i="1" s="1"/>
  <c r="AY2" i="1" s="1"/>
  <c r="BB2" i="1" s="1"/>
  <c r="F3" i="1"/>
  <c r="I27" i="1" l="1"/>
  <c r="H16" i="2"/>
  <c r="H5" i="2"/>
  <c r="K5" i="2" s="1"/>
  <c r="AG23" i="3"/>
  <c r="AE14" i="2"/>
  <c r="U27" i="1"/>
  <c r="BB27" i="1"/>
  <c r="C27" i="1"/>
  <c r="H13" i="2"/>
  <c r="K13" i="2" s="1"/>
  <c r="N13" i="2" s="1"/>
  <c r="Q13" i="2" s="1"/>
  <c r="T13" i="2" s="1"/>
  <c r="W13" i="2" s="1"/>
  <c r="Z13" i="2" s="1"/>
  <c r="AC13" i="2" s="1"/>
  <c r="AF13" i="2" s="1"/>
  <c r="AI13" i="2" s="1"/>
  <c r="AL13" i="2" s="1"/>
  <c r="AO13" i="2" s="1"/>
  <c r="AR13" i="2" s="1"/>
  <c r="AU13" i="2" s="1"/>
  <c r="AX13" i="2" s="1"/>
  <c r="BA13" i="2" s="1"/>
  <c r="BD13" i="2" s="1"/>
  <c r="AT5" i="2"/>
  <c r="I23" i="3"/>
  <c r="AF17" i="6"/>
  <c r="AI17" i="6" s="1"/>
  <c r="AL17" i="6" s="1"/>
  <c r="AO17" i="6" s="1"/>
  <c r="AR17" i="6" s="1"/>
  <c r="AU17" i="6" s="1"/>
  <c r="AX17" i="6" s="1"/>
  <c r="BA17" i="6" s="1"/>
  <c r="BD17" i="6" s="1"/>
  <c r="K7" i="2"/>
  <c r="N7" i="2" s="1"/>
  <c r="Q7" i="2" s="1"/>
  <c r="T7" i="2" s="1"/>
  <c r="W7" i="2" s="1"/>
  <c r="Z7" i="2" s="1"/>
  <c r="AC7" i="2" s="1"/>
  <c r="AF7" i="2" s="1"/>
  <c r="AI7" i="2" s="1"/>
  <c r="H18" i="2"/>
  <c r="K18" i="2" s="1"/>
  <c r="N18" i="2" s="1"/>
  <c r="F23" i="3"/>
  <c r="AI7" i="6"/>
  <c r="AL7" i="6" s="1"/>
  <c r="AO7" i="6" s="1"/>
  <c r="AR7" i="6" s="1"/>
  <c r="AU7" i="6" s="1"/>
  <c r="AX7" i="6" s="1"/>
  <c r="BA7" i="6" s="1"/>
  <c r="BD7" i="6" s="1"/>
  <c r="AT6" i="1"/>
  <c r="H25" i="1"/>
  <c r="H17" i="1"/>
  <c r="K16" i="2"/>
  <c r="N16" i="2" s="1"/>
  <c r="Q16" i="2" s="1"/>
  <c r="T16" i="2" s="1"/>
  <c r="W16" i="2" s="1"/>
  <c r="Z16" i="2" s="1"/>
  <c r="AC16" i="2" s="1"/>
  <c r="AF16" i="2" s="1"/>
  <c r="AI16" i="2" s="1"/>
  <c r="AI17" i="5"/>
  <c r="AL17" i="5" s="1"/>
  <c r="AO17" i="5" s="1"/>
  <c r="AR17" i="5" s="1"/>
  <c r="AC5" i="5"/>
  <c r="AF5" i="5" s="1"/>
  <c r="AI5" i="5" s="1"/>
  <c r="AL5" i="5" s="1"/>
  <c r="AO5" i="5" s="1"/>
  <c r="AR5" i="5" s="1"/>
  <c r="AU7" i="5"/>
  <c r="AX7" i="5" s="1"/>
  <c r="BA7" i="5" s="1"/>
  <c r="BD7" i="5" s="1"/>
  <c r="AU12" i="5"/>
  <c r="AX12" i="5" s="1"/>
  <c r="BA12" i="5" s="1"/>
  <c r="BD12" i="5" s="1"/>
  <c r="AU17" i="5"/>
  <c r="AX17" i="5" s="1"/>
  <c r="BA17" i="5" s="1"/>
  <c r="BD17" i="5" s="1"/>
  <c r="AU10" i="5"/>
  <c r="AX10" i="5" s="1"/>
  <c r="BA10" i="5" s="1"/>
  <c r="BD10" i="5" s="1"/>
  <c r="AU13" i="5"/>
  <c r="AX13" i="5" s="1"/>
  <c r="BA13" i="5" s="1"/>
  <c r="BD13" i="5" s="1"/>
  <c r="H6" i="5"/>
  <c r="K6" i="5" s="1"/>
  <c r="N6" i="5" s="1"/>
  <c r="Q6" i="5" s="1"/>
  <c r="T6" i="5" s="1"/>
  <c r="W6" i="5" s="1"/>
  <c r="Z6" i="5" s="1"/>
  <c r="AC6" i="5" s="1"/>
  <c r="AF6" i="5" s="1"/>
  <c r="AI6" i="5" s="1"/>
  <c r="AL6" i="5" s="1"/>
  <c r="AO6" i="5" s="1"/>
  <c r="AR6" i="5" s="1"/>
  <c r="AU11" i="5"/>
  <c r="AX11" i="5" s="1"/>
  <c r="BA11" i="5" s="1"/>
  <c r="BD11" i="5" s="1"/>
  <c r="AU14" i="5"/>
  <c r="AX14" i="5" s="1"/>
  <c r="BA14" i="5" s="1"/>
  <c r="BD14" i="5" s="1"/>
  <c r="AU4" i="5"/>
  <c r="AX4" i="5" s="1"/>
  <c r="BA4" i="5" s="1"/>
  <c r="BD4" i="5" s="1"/>
  <c r="AU5" i="5"/>
  <c r="AX5" i="5" s="1"/>
  <c r="BA5" i="5" s="1"/>
  <c r="BD5" i="5" s="1"/>
  <c r="AU15" i="5"/>
  <c r="AX15" i="5" s="1"/>
  <c r="BA15" i="5" s="1"/>
  <c r="BD15" i="5" s="1"/>
  <c r="AU8" i="5"/>
  <c r="AX8" i="5" s="1"/>
  <c r="BA8" i="5" s="1"/>
  <c r="BD8" i="5" s="1"/>
  <c r="N16" i="5"/>
  <c r="Q16" i="5" s="1"/>
  <c r="T16" i="5" s="1"/>
  <c r="W16" i="5" s="1"/>
  <c r="Z16" i="5" s="1"/>
  <c r="AC16" i="5" s="1"/>
  <c r="AF16" i="5" s="1"/>
  <c r="AI16" i="5" s="1"/>
  <c r="AL16" i="5" s="1"/>
  <c r="AO16" i="5" s="1"/>
  <c r="AR16" i="5" s="1"/>
  <c r="H16" i="5"/>
  <c r="K16" i="5" s="1"/>
  <c r="Q9" i="5"/>
  <c r="T9" i="5" s="1"/>
  <c r="W9" i="5" s="1"/>
  <c r="Z9" i="5" s="1"/>
  <c r="AC9" i="5" s="1"/>
  <c r="AF9" i="5" s="1"/>
  <c r="AI9" i="5" s="1"/>
  <c r="AL9" i="5" s="1"/>
  <c r="AO9" i="5" s="1"/>
  <c r="AR9" i="5" s="1"/>
  <c r="Q18" i="2"/>
  <c r="T18" i="2" s="1"/>
  <c r="W18" i="2" s="1"/>
  <c r="Z18" i="2" s="1"/>
  <c r="AC18" i="2" s="1"/>
  <c r="AF18" i="2" s="1"/>
  <c r="AL16" i="2"/>
  <c r="AO16" i="2" s="1"/>
  <c r="AR16" i="2" s="1"/>
  <c r="AU16" i="2" s="1"/>
  <c r="AX16" i="2" s="1"/>
  <c r="BA16" i="2" s="1"/>
  <c r="BD16" i="2" s="1"/>
  <c r="N5" i="2"/>
  <c r="Q5" i="2" s="1"/>
  <c r="T5" i="2" s="1"/>
  <c r="W5" i="2" s="1"/>
  <c r="Z5" i="2" s="1"/>
  <c r="AC5" i="2" s="1"/>
  <c r="AF5" i="2" s="1"/>
  <c r="AI5" i="2" s="1"/>
  <c r="AL5" i="2" s="1"/>
  <c r="AO5" i="2" s="1"/>
  <c r="AR5" i="2" s="1"/>
  <c r="AU5" i="2" s="1"/>
  <c r="AX5" i="2" s="1"/>
  <c r="BA5" i="2" s="1"/>
  <c r="BD5" i="2" s="1"/>
  <c r="K4" i="2"/>
  <c r="N4" i="2" s="1"/>
  <c r="Q4" i="2" s="1"/>
  <c r="T4" i="2" s="1"/>
  <c r="W4" i="2" s="1"/>
  <c r="Z4" i="2" s="1"/>
  <c r="AC4" i="2" s="1"/>
  <c r="AF4" i="2" s="1"/>
  <c r="AI4" i="2" s="1"/>
  <c r="AL4" i="2" s="1"/>
  <c r="AO4" i="2" s="1"/>
  <c r="AR4" i="2" s="1"/>
  <c r="AU4" i="2" s="1"/>
  <c r="AX4" i="2" s="1"/>
  <c r="BA4" i="2" s="1"/>
  <c r="BD4" i="2" s="1"/>
  <c r="AP22" i="2"/>
  <c r="H8" i="2"/>
  <c r="K8" i="2" s="1"/>
  <c r="N8" i="2" s="1"/>
  <c r="Q8" i="2" s="1"/>
  <c r="T8" i="2" s="1"/>
  <c r="W8" i="2" s="1"/>
  <c r="Z8" i="2" s="1"/>
  <c r="AC8" i="2" s="1"/>
  <c r="AF8" i="2" s="1"/>
  <c r="AI8" i="2" s="1"/>
  <c r="AL8" i="2" s="1"/>
  <c r="AO8" i="2" s="1"/>
  <c r="AR8" i="2" s="1"/>
  <c r="AU8" i="2" s="1"/>
  <c r="AX8" i="2" s="1"/>
  <c r="BA8" i="2" s="1"/>
  <c r="BD8" i="2" s="1"/>
  <c r="K12" i="2"/>
  <c r="N12" i="2" s="1"/>
  <c r="Q12" i="2" s="1"/>
  <c r="T12" i="2" s="1"/>
  <c r="W12" i="2" s="1"/>
  <c r="Z12" i="2" s="1"/>
  <c r="AC12" i="2" s="1"/>
  <c r="AF12" i="2" s="1"/>
  <c r="AI12" i="2" s="1"/>
  <c r="AL12" i="2" s="1"/>
  <c r="AO12" i="2" s="1"/>
  <c r="AR12" i="2" s="1"/>
  <c r="AU12" i="2" s="1"/>
  <c r="AX12" i="2" s="1"/>
  <c r="BA12" i="2" s="1"/>
  <c r="BD12" i="2" s="1"/>
  <c r="K15" i="2"/>
  <c r="N15" i="2" s="1"/>
  <c r="Q15" i="2" s="1"/>
  <c r="T15" i="2" s="1"/>
  <c r="W15" i="2" s="1"/>
  <c r="Z15" i="2" s="1"/>
  <c r="AC15" i="2" s="1"/>
  <c r="AF15" i="2" s="1"/>
  <c r="AI15" i="2" s="1"/>
  <c r="AL15" i="2" s="1"/>
  <c r="AO15" i="2" s="1"/>
  <c r="AR15" i="2" s="1"/>
  <c r="AU15" i="2" s="1"/>
  <c r="AX15" i="2" s="1"/>
  <c r="BA15" i="2" s="1"/>
  <c r="BD15" i="2" s="1"/>
  <c r="H20" i="2"/>
  <c r="K20" i="2" s="1"/>
  <c r="N20" i="2" s="1"/>
  <c r="Q20" i="2" s="1"/>
  <c r="T20" i="2" s="1"/>
  <c r="W20" i="2" s="1"/>
  <c r="Z20" i="2" s="1"/>
  <c r="AC20" i="2" s="1"/>
  <c r="AF20" i="2" s="1"/>
  <c r="AI20" i="2" s="1"/>
  <c r="AL20" i="2" s="1"/>
  <c r="AO20" i="2" s="1"/>
  <c r="AR20" i="2" s="1"/>
  <c r="AU20" i="2" s="1"/>
  <c r="AX20" i="2" s="1"/>
  <c r="BA20" i="2" s="1"/>
  <c r="BD20" i="2" s="1"/>
  <c r="H19" i="2"/>
  <c r="K19" i="2" s="1"/>
  <c r="N19" i="2" s="1"/>
  <c r="Q19" i="2" s="1"/>
  <c r="T19" i="2" s="1"/>
  <c r="W19" i="2" s="1"/>
  <c r="Z19" i="2" s="1"/>
  <c r="AC19" i="2" s="1"/>
  <c r="AF19" i="2" s="1"/>
  <c r="AI19" i="2" s="1"/>
  <c r="AL19" i="2" s="1"/>
  <c r="AO19" i="2" s="1"/>
  <c r="AR19" i="2" s="1"/>
  <c r="AU19" i="2" s="1"/>
  <c r="AX19" i="2" s="1"/>
  <c r="BA19" i="2" s="1"/>
  <c r="BD19" i="2" s="1"/>
  <c r="H11" i="2"/>
  <c r="K11" i="2" s="1"/>
  <c r="N11" i="2" s="1"/>
  <c r="Q11" i="2" s="1"/>
  <c r="T11" i="2" s="1"/>
  <c r="W11" i="2" s="1"/>
  <c r="Z11" i="2" s="1"/>
  <c r="AC11" i="2" s="1"/>
  <c r="AF11" i="2" s="1"/>
  <c r="AI11" i="2" s="1"/>
  <c r="AL11" i="2" s="1"/>
  <c r="AO11" i="2" s="1"/>
  <c r="AR11" i="2" s="1"/>
  <c r="AU11" i="2" s="1"/>
  <c r="AX11" i="2" s="1"/>
  <c r="BA11" i="2" s="1"/>
  <c r="BD11" i="2" s="1"/>
  <c r="H6" i="2"/>
  <c r="H10" i="2"/>
  <c r="K10" i="2" s="1"/>
  <c r="N10" i="2" s="1"/>
  <c r="Q10" i="2" s="1"/>
  <c r="T10" i="2" s="1"/>
  <c r="W10" i="2" s="1"/>
  <c r="Z10" i="2" s="1"/>
  <c r="AC10" i="2" s="1"/>
  <c r="AF10" i="2" s="1"/>
  <c r="AI10" i="2" s="1"/>
  <c r="AL10" i="2" s="1"/>
  <c r="AO10" i="2" s="1"/>
  <c r="AR10" i="2" s="1"/>
  <c r="AU10" i="2" s="1"/>
  <c r="AX10" i="2" s="1"/>
  <c r="BA10" i="2" s="1"/>
  <c r="H9" i="2"/>
  <c r="K9" i="2" s="1"/>
  <c r="N9" i="2" s="1"/>
  <c r="AL7" i="2"/>
  <c r="AO7" i="2" s="1"/>
  <c r="AR7" i="2" s="1"/>
  <c r="AU7" i="2" s="1"/>
  <c r="AX7" i="2" s="1"/>
  <c r="BA7" i="2" s="1"/>
  <c r="BD7" i="2" s="1"/>
  <c r="H14" i="2"/>
  <c r="K14" i="2" s="1"/>
  <c r="N14" i="2" s="1"/>
  <c r="Q14" i="2" s="1"/>
  <c r="T14" i="2" s="1"/>
  <c r="W14" i="2" s="1"/>
  <c r="Z14" i="2" s="1"/>
  <c r="AC14" i="2" s="1"/>
  <c r="AF14" i="2" s="1"/>
  <c r="AI14" i="2" s="1"/>
  <c r="AL14" i="2" s="1"/>
  <c r="AO14" i="2" s="1"/>
  <c r="AR14" i="2" s="1"/>
  <c r="AU14" i="2" s="1"/>
  <c r="AX14" i="2" s="1"/>
  <c r="BA14" i="2" s="1"/>
  <c r="BD14" i="2" s="1"/>
  <c r="AD23" i="3"/>
  <c r="J9" i="3"/>
  <c r="H18" i="3"/>
  <c r="K18" i="3" s="1"/>
  <c r="N18" i="3" s="1"/>
  <c r="Q18" i="3" s="1"/>
  <c r="T18" i="3" s="1"/>
  <c r="W18" i="3" s="1"/>
  <c r="Z18" i="3" s="1"/>
  <c r="AC18" i="3" s="1"/>
  <c r="AF18" i="3" s="1"/>
  <c r="AI18" i="3" s="1"/>
  <c r="AL18" i="3" s="1"/>
  <c r="AO18" i="3" s="1"/>
  <c r="AR18" i="3" s="1"/>
  <c r="AU18" i="3" s="1"/>
  <c r="AX18" i="3" s="1"/>
  <c r="BA18" i="3" s="1"/>
  <c r="BD18" i="3" s="1"/>
  <c r="H9" i="3"/>
  <c r="H8" i="3"/>
  <c r="K8" i="3" s="1"/>
  <c r="N8" i="3" s="1"/>
  <c r="Q8" i="3" s="1"/>
  <c r="T8" i="3" s="1"/>
  <c r="W8" i="3" s="1"/>
  <c r="Z8" i="3" s="1"/>
  <c r="AC8" i="3" s="1"/>
  <c r="AF8" i="3" s="1"/>
  <c r="AI8" i="3" s="1"/>
  <c r="AL8" i="3" s="1"/>
  <c r="AO8" i="3" s="1"/>
  <c r="H6" i="3"/>
  <c r="K6" i="3" s="1"/>
  <c r="N6" i="3" s="1"/>
  <c r="Q6" i="3" s="1"/>
  <c r="T6" i="3" s="1"/>
  <c r="W6" i="3" s="1"/>
  <c r="Z6" i="3" s="1"/>
  <c r="AC6" i="3" s="1"/>
  <c r="AF6" i="3" s="1"/>
  <c r="AI6" i="3" s="1"/>
  <c r="H13" i="3"/>
  <c r="K13" i="3" s="1"/>
  <c r="N13" i="3" s="1"/>
  <c r="Q13" i="3" s="1"/>
  <c r="T13" i="3" s="1"/>
  <c r="W13" i="3" s="1"/>
  <c r="Z13" i="3" s="1"/>
  <c r="AC13" i="3" s="1"/>
  <c r="AF13" i="3" s="1"/>
  <c r="AI13" i="3" s="1"/>
  <c r="AL13" i="3" s="1"/>
  <c r="H15" i="3"/>
  <c r="K15" i="3" s="1"/>
  <c r="N15" i="3" s="1"/>
  <c r="Q15" i="3" s="1"/>
  <c r="T15" i="3" s="1"/>
  <c r="W15" i="3" s="1"/>
  <c r="Z15" i="3" s="1"/>
  <c r="AC15" i="3" s="1"/>
  <c r="AF15" i="3" s="1"/>
  <c r="AI15" i="3" s="1"/>
  <c r="AL15" i="3" s="1"/>
  <c r="AO15" i="3" s="1"/>
  <c r="AR15" i="3" s="1"/>
  <c r="AU15" i="3" s="1"/>
  <c r="AX15" i="3" s="1"/>
  <c r="BA15" i="3" s="1"/>
  <c r="BD15" i="3" s="1"/>
  <c r="H10" i="3"/>
  <c r="K10" i="3" s="1"/>
  <c r="N10" i="3" s="1"/>
  <c r="Q10" i="3" s="1"/>
  <c r="T10" i="3" s="1"/>
  <c r="W10" i="3" s="1"/>
  <c r="Z10" i="3" s="1"/>
  <c r="AC10" i="3" s="1"/>
  <c r="AF10" i="3" s="1"/>
  <c r="AI10" i="3" s="1"/>
  <c r="AL10" i="3" s="1"/>
  <c r="AO10" i="3" s="1"/>
  <c r="AR10" i="3" s="1"/>
  <c r="AU10" i="3" s="1"/>
  <c r="AX10" i="3" s="1"/>
  <c r="BA10" i="3" s="1"/>
  <c r="BD10" i="3" s="1"/>
  <c r="H21" i="3"/>
  <c r="K21" i="3" s="1"/>
  <c r="N21" i="3" s="1"/>
  <c r="Q21" i="3" s="1"/>
  <c r="T21" i="3" s="1"/>
  <c r="H5" i="3"/>
  <c r="K5" i="3" s="1"/>
  <c r="N5" i="3" s="1"/>
  <c r="Q5" i="3" s="1"/>
  <c r="T5" i="3" s="1"/>
  <c r="W5" i="3" s="1"/>
  <c r="Z5" i="3" s="1"/>
  <c r="AC5" i="3" s="1"/>
  <c r="AF5" i="3" s="1"/>
  <c r="AI5" i="3" s="1"/>
  <c r="AL5" i="3" s="1"/>
  <c r="AO5" i="3" s="1"/>
  <c r="AR5" i="3" s="1"/>
  <c r="AU5" i="3" s="1"/>
  <c r="AX5" i="3" s="1"/>
  <c r="BA5" i="3" s="1"/>
  <c r="BD5" i="3" s="1"/>
  <c r="H7" i="3"/>
  <c r="K7" i="3" s="1"/>
  <c r="N7" i="3" s="1"/>
  <c r="Q7" i="3" s="1"/>
  <c r="T7" i="3" s="1"/>
  <c r="H11" i="3"/>
  <c r="K11" i="3" s="1"/>
  <c r="N11" i="3" s="1"/>
  <c r="Q11" i="3" s="1"/>
  <c r="T11" i="3" s="1"/>
  <c r="W11" i="3" s="1"/>
  <c r="Z11" i="3" s="1"/>
  <c r="AC11" i="3" s="1"/>
  <c r="AF11" i="3" s="1"/>
  <c r="AI11" i="3" s="1"/>
  <c r="AL11" i="3" s="1"/>
  <c r="AO11" i="3" s="1"/>
  <c r="AR11" i="3" s="1"/>
  <c r="AU11" i="3" s="1"/>
  <c r="AX11" i="3" s="1"/>
  <c r="BA11" i="3" s="1"/>
  <c r="BD11" i="3" s="1"/>
  <c r="H20" i="3"/>
  <c r="K20" i="3" s="1"/>
  <c r="N20" i="3" s="1"/>
  <c r="Q20" i="3" s="1"/>
  <c r="T20" i="3" s="1"/>
  <c r="W20" i="3" s="1"/>
  <c r="Z20" i="3" s="1"/>
  <c r="Y14" i="3"/>
  <c r="J14" i="3"/>
  <c r="AE14" i="3"/>
  <c r="H17" i="3"/>
  <c r="K17" i="3" s="1"/>
  <c r="N17" i="3" s="1"/>
  <c r="Q17" i="3" s="1"/>
  <c r="T17" i="3" s="1"/>
  <c r="W17" i="3" s="1"/>
  <c r="Z17" i="3" s="1"/>
  <c r="AC17" i="3" s="1"/>
  <c r="AF17" i="3" s="1"/>
  <c r="AI17" i="3" s="1"/>
  <c r="AL17" i="3" s="1"/>
  <c r="AO17" i="3" s="1"/>
  <c r="AR17" i="3" s="1"/>
  <c r="AU17" i="3" s="1"/>
  <c r="AX17" i="3" s="1"/>
  <c r="BA17" i="3" s="1"/>
  <c r="BD17" i="3" s="1"/>
  <c r="H12" i="3"/>
  <c r="K12" i="3" s="1"/>
  <c r="N12" i="3" s="1"/>
  <c r="Q12" i="3" s="1"/>
  <c r="T12" i="3" s="1"/>
  <c r="W12" i="3" s="1"/>
  <c r="Z12" i="3" s="1"/>
  <c r="AC12" i="3" s="1"/>
  <c r="AF12" i="3" s="1"/>
  <c r="AI12" i="3" s="1"/>
  <c r="AL12" i="3" s="1"/>
  <c r="AO12" i="3" s="1"/>
  <c r="AR12" i="3" s="1"/>
  <c r="AU12" i="3" s="1"/>
  <c r="AX12" i="3" s="1"/>
  <c r="BA12" i="3" s="1"/>
  <c r="BD12" i="3" s="1"/>
  <c r="AA23" i="3"/>
  <c r="H16" i="3"/>
  <c r="K16" i="3" s="1"/>
  <c r="N16" i="3" s="1"/>
  <c r="Q16" i="3" s="1"/>
  <c r="T16" i="3" s="1"/>
  <c r="W16" i="3" s="1"/>
  <c r="Z16" i="3" s="1"/>
  <c r="AC16" i="3" s="1"/>
  <c r="AF16" i="3" s="1"/>
  <c r="AI16" i="3" s="1"/>
  <c r="AL16" i="3" s="1"/>
  <c r="AO16" i="3" s="1"/>
  <c r="AR16" i="3" s="1"/>
  <c r="AU16" i="3" s="1"/>
  <c r="AX16" i="3" s="1"/>
  <c r="BA16" i="3" s="1"/>
  <c r="BD16" i="3" s="1"/>
  <c r="BB3" i="3"/>
  <c r="BK3" i="3" s="1"/>
  <c r="R23" i="3"/>
  <c r="S9" i="3"/>
  <c r="H14" i="3"/>
  <c r="BC21" i="3"/>
  <c r="L23" i="3"/>
  <c r="AJ23" i="3"/>
  <c r="O23" i="3"/>
  <c r="AQ6" i="3"/>
  <c r="AZ6" i="3"/>
  <c r="AQ8" i="3"/>
  <c r="AN13" i="3"/>
  <c r="M14" i="3"/>
  <c r="AK14" i="3"/>
  <c r="AZ19" i="3"/>
  <c r="AB20" i="3"/>
  <c r="AB21" i="3"/>
  <c r="AW21" i="3"/>
  <c r="AP23" i="3"/>
  <c r="AM23" i="3"/>
  <c r="G4" i="3"/>
  <c r="H4" i="3" s="1"/>
  <c r="K4" i="3" s="1"/>
  <c r="N4" i="3" s="1"/>
  <c r="Q4" i="3" s="1"/>
  <c r="T4" i="3" s="1"/>
  <c r="W4" i="3" s="1"/>
  <c r="Z4" i="3" s="1"/>
  <c r="AC4" i="3" s="1"/>
  <c r="AF4" i="3" s="1"/>
  <c r="AI4" i="3" s="1"/>
  <c r="AL4" i="3" s="1"/>
  <c r="AO4" i="3" s="1"/>
  <c r="AR4" i="3" s="1"/>
  <c r="AU4" i="3" s="1"/>
  <c r="AX4" i="3" s="1"/>
  <c r="BA4" i="3" s="1"/>
  <c r="BD4" i="3" s="1"/>
  <c r="U23" i="3"/>
  <c r="AS23" i="3"/>
  <c r="AK6" i="3"/>
  <c r="AT6" i="3"/>
  <c r="V7" i="3"/>
  <c r="P14" i="3"/>
  <c r="AN14" i="3"/>
  <c r="G19" i="3"/>
  <c r="H19" i="3" s="1"/>
  <c r="K19" i="3" s="1"/>
  <c r="N19" i="3" s="1"/>
  <c r="Q19" i="3" s="1"/>
  <c r="T19" i="3" s="1"/>
  <c r="W19" i="3" s="1"/>
  <c r="Z19" i="3" s="1"/>
  <c r="AC19" i="3" s="1"/>
  <c r="AF19" i="3" s="1"/>
  <c r="AI19" i="3" s="1"/>
  <c r="AL19" i="3" s="1"/>
  <c r="AO19" i="3" s="1"/>
  <c r="AR19" i="3" s="1"/>
  <c r="AU19" i="3" s="1"/>
  <c r="AX19" i="3" s="1"/>
  <c r="BC19" i="3"/>
  <c r="V21" i="3"/>
  <c r="AZ21" i="3"/>
  <c r="AY23" i="3"/>
  <c r="BC10" i="2"/>
  <c r="AM22" i="2"/>
  <c r="AH18" i="2"/>
  <c r="AI18" i="2" s="1"/>
  <c r="AL18" i="2" s="1"/>
  <c r="AO18" i="2" s="1"/>
  <c r="AR18" i="2" s="1"/>
  <c r="AU18" i="2" s="1"/>
  <c r="AX18" i="2" s="1"/>
  <c r="BA18" i="2" s="1"/>
  <c r="BD18" i="2" s="1"/>
  <c r="AN17" i="2"/>
  <c r="AG22" i="2"/>
  <c r="AH17" i="2"/>
  <c r="AA22" i="2"/>
  <c r="P9" i="2"/>
  <c r="Q9" i="2" s="1"/>
  <c r="T9" i="2" s="1"/>
  <c r="W9" i="2" s="1"/>
  <c r="Z9" i="2" s="1"/>
  <c r="AC9" i="2" s="1"/>
  <c r="AF9" i="2" s="1"/>
  <c r="AI9" i="2" s="1"/>
  <c r="AL9" i="2" s="1"/>
  <c r="AO9" i="2" s="1"/>
  <c r="AR9" i="2" s="1"/>
  <c r="AU9" i="2" s="1"/>
  <c r="AX9" i="2" s="1"/>
  <c r="BA9" i="2" s="1"/>
  <c r="BD9" i="2" s="1"/>
  <c r="G17" i="2"/>
  <c r="H17" i="2" s="1"/>
  <c r="K17" i="2" s="1"/>
  <c r="N17" i="2" s="1"/>
  <c r="Q17" i="2" s="1"/>
  <c r="T17" i="2" s="1"/>
  <c r="W17" i="2" s="1"/>
  <c r="Z17" i="2" s="1"/>
  <c r="AC17" i="2" s="1"/>
  <c r="AF17" i="2" s="1"/>
  <c r="J6" i="2"/>
  <c r="C22" i="2"/>
  <c r="BC21" i="1"/>
  <c r="AY27" i="1"/>
  <c r="AZ19" i="1"/>
  <c r="AV27" i="1"/>
  <c r="H11" i="1"/>
  <c r="K11" i="1" s="1"/>
  <c r="N11" i="1" s="1"/>
  <c r="Q11" i="1" s="1"/>
  <c r="T11" i="1" s="1"/>
  <c r="W11" i="1" s="1"/>
  <c r="Z11" i="1" s="1"/>
  <c r="AC11" i="1" s="1"/>
  <c r="AF11" i="1" s="1"/>
  <c r="AI11" i="1" s="1"/>
  <c r="AL11" i="1" s="1"/>
  <c r="AO11" i="1" s="1"/>
  <c r="AR11" i="1" s="1"/>
  <c r="AU11" i="1" s="1"/>
  <c r="AX11" i="1" s="1"/>
  <c r="BA11" i="1" s="1"/>
  <c r="BD11" i="1" s="1"/>
  <c r="O27" i="1"/>
  <c r="AJ27" i="1"/>
  <c r="X27" i="1"/>
  <c r="H9" i="1"/>
  <c r="K9" i="1" s="1"/>
  <c r="N9" i="1" s="1"/>
  <c r="AE16" i="1"/>
  <c r="H16" i="1"/>
  <c r="K16" i="1" s="1"/>
  <c r="N16" i="1" s="1"/>
  <c r="Q16" i="1" s="1"/>
  <c r="T16" i="1" s="1"/>
  <c r="W16" i="1" s="1"/>
  <c r="Z16" i="1" s="1"/>
  <c r="AC16" i="1" s="1"/>
  <c r="J19" i="1"/>
  <c r="V21" i="1"/>
  <c r="AG27" i="1"/>
  <c r="F27" i="1"/>
  <c r="H20" i="1"/>
  <c r="K20" i="1" s="1"/>
  <c r="N20" i="1" s="1"/>
  <c r="Q20" i="1" s="1"/>
  <c r="T20" i="1" s="1"/>
  <c r="W20" i="1" s="1"/>
  <c r="Z20" i="1" s="1"/>
  <c r="AC20" i="1" s="1"/>
  <c r="AF20" i="1" s="1"/>
  <c r="AI20" i="1" s="1"/>
  <c r="AL20" i="1" s="1"/>
  <c r="AO20" i="1" s="1"/>
  <c r="AR20" i="1" s="1"/>
  <c r="AU20" i="1" s="1"/>
  <c r="AX20" i="1" s="1"/>
  <c r="BA20" i="1" s="1"/>
  <c r="BD20" i="1" s="1"/>
  <c r="H8" i="1"/>
  <c r="K8" i="1" s="1"/>
  <c r="N8" i="1" s="1"/>
  <c r="Q8" i="1" s="1"/>
  <c r="K17" i="1"/>
  <c r="N17" i="1" s="1"/>
  <c r="Q17" i="1" s="1"/>
  <c r="T17" i="1" s="1"/>
  <c r="W17" i="1" s="1"/>
  <c r="Z17" i="1" s="1"/>
  <c r="AC17" i="1" s="1"/>
  <c r="AF17" i="1" s="1"/>
  <c r="AI17" i="1" s="1"/>
  <c r="AL17" i="1" s="1"/>
  <c r="AO17" i="1" s="1"/>
  <c r="AR17" i="1" s="1"/>
  <c r="H24" i="1"/>
  <c r="K24" i="1" s="1"/>
  <c r="N24" i="1" s="1"/>
  <c r="Q24" i="1" s="1"/>
  <c r="T24" i="1" s="1"/>
  <c r="W24" i="1" s="1"/>
  <c r="Z24" i="1" s="1"/>
  <c r="AC24" i="1" s="1"/>
  <c r="AF24" i="1" s="1"/>
  <c r="AI24" i="1" s="1"/>
  <c r="AL24" i="1" s="1"/>
  <c r="AO24" i="1" s="1"/>
  <c r="AR24" i="1" s="1"/>
  <c r="AU24" i="1" s="1"/>
  <c r="AX24" i="1" s="1"/>
  <c r="BA24" i="1" s="1"/>
  <c r="BD24" i="1" s="1"/>
  <c r="H18" i="1"/>
  <c r="K18" i="1" s="1"/>
  <c r="N18" i="1" s="1"/>
  <c r="Q18" i="1" s="1"/>
  <c r="T18" i="1" s="1"/>
  <c r="W18" i="1" s="1"/>
  <c r="Z18" i="1" s="1"/>
  <c r="AC18" i="1" s="1"/>
  <c r="AF18" i="1" s="1"/>
  <c r="AI18" i="1" s="1"/>
  <c r="AL18" i="1" s="1"/>
  <c r="AO18" i="1" s="1"/>
  <c r="AR18" i="1" s="1"/>
  <c r="AU18" i="1" s="1"/>
  <c r="AX18" i="1" s="1"/>
  <c r="BA18" i="1" s="1"/>
  <c r="BD18" i="1" s="1"/>
  <c r="H12" i="1"/>
  <c r="K12" i="1" s="1"/>
  <c r="N12" i="1" s="1"/>
  <c r="Q12" i="1" s="1"/>
  <c r="T12" i="1" s="1"/>
  <c r="W12" i="1" s="1"/>
  <c r="Z12" i="1" s="1"/>
  <c r="AC12" i="1" s="1"/>
  <c r="AF12" i="1" s="1"/>
  <c r="AI12" i="1" s="1"/>
  <c r="AL12" i="1" s="1"/>
  <c r="AO12" i="1" s="1"/>
  <c r="AR12" i="1" s="1"/>
  <c r="AU12" i="1" s="1"/>
  <c r="AX12" i="1" s="1"/>
  <c r="BA12" i="1" s="1"/>
  <c r="BD12" i="1" s="1"/>
  <c r="D14" i="1"/>
  <c r="E14" i="1" s="1"/>
  <c r="H6" i="1"/>
  <c r="K6" i="1" s="1"/>
  <c r="N6" i="1" s="1"/>
  <c r="Q6" i="1" s="1"/>
  <c r="T6" i="1" s="1"/>
  <c r="W6" i="1" s="1"/>
  <c r="Z6" i="1" s="1"/>
  <c r="AC6" i="1" s="1"/>
  <c r="AF6" i="1" s="1"/>
  <c r="AI6" i="1" s="1"/>
  <c r="H10" i="1"/>
  <c r="K10" i="1" s="1"/>
  <c r="N10" i="1" s="1"/>
  <c r="Q10" i="1" s="1"/>
  <c r="T10" i="1" s="1"/>
  <c r="W10" i="1" s="1"/>
  <c r="Z10" i="1" s="1"/>
  <c r="AC10" i="1" s="1"/>
  <c r="AF10" i="1" s="1"/>
  <c r="AI10" i="1" s="1"/>
  <c r="AL10" i="1" s="1"/>
  <c r="AO10" i="1" s="1"/>
  <c r="AR10" i="1" s="1"/>
  <c r="AU10" i="1" s="1"/>
  <c r="AX10" i="1" s="1"/>
  <c r="BA10" i="1" s="1"/>
  <c r="BD10" i="1" s="1"/>
  <c r="K5" i="1"/>
  <c r="N5" i="1" s="1"/>
  <c r="Q5" i="1" s="1"/>
  <c r="T5" i="1" s="1"/>
  <c r="W5" i="1" s="1"/>
  <c r="Z5" i="1" s="1"/>
  <c r="AC5" i="1" s="1"/>
  <c r="AF5" i="1" s="1"/>
  <c r="AI5" i="1" s="1"/>
  <c r="AL5" i="1" s="1"/>
  <c r="AO5" i="1" s="1"/>
  <c r="AR5" i="1" s="1"/>
  <c r="AU5" i="1" s="1"/>
  <c r="AX5" i="1" s="1"/>
  <c r="BA5" i="1" s="1"/>
  <c r="BD5" i="1" s="1"/>
  <c r="T8" i="1"/>
  <c r="W8" i="1" s="1"/>
  <c r="Z8" i="1" s="1"/>
  <c r="AC8" i="1" s="1"/>
  <c r="AF8" i="1" s="1"/>
  <c r="AI8" i="1" s="1"/>
  <c r="AL8" i="1" s="1"/>
  <c r="AO8" i="1" s="1"/>
  <c r="AR8" i="1" s="1"/>
  <c r="AU8" i="1" s="1"/>
  <c r="AX8" i="1" s="1"/>
  <c r="BA8" i="1" s="1"/>
  <c r="BD8" i="1" s="1"/>
  <c r="H4" i="1"/>
  <c r="K4" i="1" s="1"/>
  <c r="N4" i="1" s="1"/>
  <c r="K25" i="1"/>
  <c r="N25" i="1" s="1"/>
  <c r="Q25" i="1" s="1"/>
  <c r="T25" i="1" s="1"/>
  <c r="W25" i="1" s="1"/>
  <c r="Z25" i="1" s="1"/>
  <c r="AC25" i="1" s="1"/>
  <c r="AF25" i="1" s="1"/>
  <c r="AI25" i="1" s="1"/>
  <c r="AL25" i="1" s="1"/>
  <c r="AO25" i="1" s="1"/>
  <c r="AR25" i="1" s="1"/>
  <c r="AU25" i="1" s="1"/>
  <c r="AX25" i="1" s="1"/>
  <c r="BA25" i="1" s="1"/>
  <c r="BD25" i="1" s="1"/>
  <c r="H19" i="1"/>
  <c r="V7" i="1"/>
  <c r="R27" i="1"/>
  <c r="AM27" i="1"/>
  <c r="AP27" i="1"/>
  <c r="S9" i="1"/>
  <c r="Y14" i="1"/>
  <c r="AN13" i="1"/>
  <c r="P9" i="1"/>
  <c r="AK6" i="1"/>
  <c r="AA27" i="1"/>
  <c r="E23" i="1"/>
  <c r="H23" i="1" s="1"/>
  <c r="K23" i="1" s="1"/>
  <c r="N23" i="1" s="1"/>
  <c r="Q23" i="1" s="1"/>
  <c r="T23" i="1" s="1"/>
  <c r="W23" i="1" s="1"/>
  <c r="Z23" i="1" s="1"/>
  <c r="AC23" i="1" s="1"/>
  <c r="AF23" i="1" s="1"/>
  <c r="AI23" i="1" s="1"/>
  <c r="AL23" i="1" s="1"/>
  <c r="AO23" i="1" s="1"/>
  <c r="AR23" i="1" s="1"/>
  <c r="AU23" i="1" s="1"/>
  <c r="AX23" i="1" s="1"/>
  <c r="BA23" i="1" s="1"/>
  <c r="BD23" i="1" s="1"/>
  <c r="E15" i="1"/>
  <c r="H15" i="1" s="1"/>
  <c r="K15" i="1" s="1"/>
  <c r="N15" i="1" s="1"/>
  <c r="Q15" i="1" s="1"/>
  <c r="T15" i="1" s="1"/>
  <c r="W15" i="1" s="1"/>
  <c r="Z15" i="1" s="1"/>
  <c r="AC15" i="1" s="1"/>
  <c r="AF15" i="1" s="1"/>
  <c r="AI15" i="1" s="1"/>
  <c r="AL15" i="1" s="1"/>
  <c r="AO15" i="1" s="1"/>
  <c r="AR15" i="1" s="1"/>
  <c r="AU15" i="1" s="1"/>
  <c r="AX15" i="1" s="1"/>
  <c r="BA15" i="1" s="1"/>
  <c r="BD15" i="1" s="1"/>
  <c r="E7" i="1"/>
  <c r="H7" i="1" s="1"/>
  <c r="K7" i="1" s="1"/>
  <c r="N7" i="1" s="1"/>
  <c r="Q7" i="1" s="1"/>
  <c r="T7" i="1" s="1"/>
  <c r="E22" i="1"/>
  <c r="H22" i="1" s="1"/>
  <c r="K22" i="1" s="1"/>
  <c r="N22" i="1" s="1"/>
  <c r="Q22" i="1" s="1"/>
  <c r="T22" i="1" s="1"/>
  <c r="W22" i="1" s="1"/>
  <c r="Z22" i="1" s="1"/>
  <c r="AC22" i="1" s="1"/>
  <c r="AF22" i="1" s="1"/>
  <c r="AI22" i="1" s="1"/>
  <c r="AL22" i="1" s="1"/>
  <c r="AO22" i="1" s="1"/>
  <c r="AR22" i="1" s="1"/>
  <c r="AU22" i="1" s="1"/>
  <c r="AX22" i="1" s="1"/>
  <c r="BA22" i="1" s="1"/>
  <c r="BD22" i="1" s="1"/>
  <c r="E21" i="1"/>
  <c r="H21" i="1" s="1"/>
  <c r="K21" i="1" s="1"/>
  <c r="N21" i="1" s="1"/>
  <c r="Q21" i="1" s="1"/>
  <c r="T21" i="1" s="1"/>
  <c r="E13" i="1"/>
  <c r="H13" i="1" s="1"/>
  <c r="K13" i="1" s="1"/>
  <c r="N13" i="1" s="1"/>
  <c r="Q13" i="1" s="1"/>
  <c r="T13" i="1" s="1"/>
  <c r="W13" i="1" s="1"/>
  <c r="Z13" i="1" s="1"/>
  <c r="AC13" i="1" s="1"/>
  <c r="AF13" i="1" s="1"/>
  <c r="AI13" i="1" s="1"/>
  <c r="AL13" i="1" s="1"/>
  <c r="I1" i="1"/>
  <c r="L1" i="1" s="1"/>
  <c r="O1" i="1" s="1"/>
  <c r="R1" i="1" s="1"/>
  <c r="U1" i="1" s="1"/>
  <c r="X1" i="1" s="1"/>
  <c r="AA1" i="1" s="1"/>
  <c r="AD1" i="1" s="1"/>
  <c r="AG1" i="1" s="1"/>
  <c r="AJ1" i="1" s="1"/>
  <c r="AM1" i="1" s="1"/>
  <c r="AP1" i="1" s="1"/>
  <c r="AS1" i="1" s="1"/>
  <c r="AV1" i="1" s="1"/>
  <c r="AY1" i="1" s="1"/>
  <c r="BB1" i="1" s="1"/>
  <c r="I3" i="1"/>
  <c r="L3" i="1" s="1"/>
  <c r="O3" i="1" s="1"/>
  <c r="R3" i="1" s="1"/>
  <c r="AF16" i="1" l="1"/>
  <c r="AI16" i="1" s="1"/>
  <c r="AL16" i="1" s="1"/>
  <c r="AO16" i="1" s="1"/>
  <c r="AR16" i="1" s="1"/>
  <c r="AU16" i="1" s="1"/>
  <c r="AX16" i="1" s="1"/>
  <c r="BA16" i="1" s="1"/>
  <c r="BD16" i="1" s="1"/>
  <c r="K9" i="3"/>
  <c r="AU16" i="5"/>
  <c r="AX16" i="5" s="1"/>
  <c r="BA16" i="5" s="1"/>
  <c r="BD16" i="5" s="1"/>
  <c r="AU9" i="5"/>
  <c r="AX9" i="5" s="1"/>
  <c r="BA9" i="5" s="1"/>
  <c r="BD9" i="5" s="1"/>
  <c r="AU6" i="5"/>
  <c r="AX6" i="5" s="1"/>
  <c r="BA6" i="5" s="1"/>
  <c r="BD6" i="5" s="1"/>
  <c r="AI17" i="2"/>
  <c r="AL17" i="2" s="1"/>
  <c r="AO17" i="2" s="1"/>
  <c r="AR17" i="2" s="1"/>
  <c r="AU17" i="2" s="1"/>
  <c r="AX17" i="2" s="1"/>
  <c r="BA17" i="2" s="1"/>
  <c r="BD17" i="2" s="1"/>
  <c r="BD10" i="2"/>
  <c r="K6" i="2"/>
  <c r="N6" i="2" s="1"/>
  <c r="Q6" i="2" s="1"/>
  <c r="T6" i="2" s="1"/>
  <c r="W6" i="2" s="1"/>
  <c r="Z6" i="2" s="1"/>
  <c r="AC6" i="2" s="1"/>
  <c r="AF6" i="2" s="1"/>
  <c r="AI6" i="2" s="1"/>
  <c r="AL6" i="2" s="1"/>
  <c r="AO6" i="2" s="1"/>
  <c r="AR6" i="2" s="1"/>
  <c r="AU6" i="2" s="1"/>
  <c r="AX6" i="2" s="1"/>
  <c r="BA6" i="2" s="1"/>
  <c r="BD6" i="2" s="1"/>
  <c r="K14" i="3"/>
  <c r="N14" i="3" s="1"/>
  <c r="Q14" i="3" s="1"/>
  <c r="T14" i="3" s="1"/>
  <c r="W14" i="3" s="1"/>
  <c r="Z14" i="3" s="1"/>
  <c r="AC14" i="3" s="1"/>
  <c r="AF14" i="3" s="1"/>
  <c r="AI14" i="3" s="1"/>
  <c r="AL14" i="3" s="1"/>
  <c r="AO14" i="3" s="1"/>
  <c r="AR14" i="3" s="1"/>
  <c r="AU14" i="3" s="1"/>
  <c r="AX14" i="3" s="1"/>
  <c r="BA14" i="3" s="1"/>
  <c r="BD14" i="3" s="1"/>
  <c r="AC20" i="3"/>
  <c r="AF20" i="3" s="1"/>
  <c r="AI20" i="3" s="1"/>
  <c r="AL20" i="3" s="1"/>
  <c r="AO20" i="3" s="1"/>
  <c r="AR20" i="3" s="1"/>
  <c r="AU20" i="3" s="1"/>
  <c r="AX20" i="3" s="1"/>
  <c r="BA20" i="3" s="1"/>
  <c r="BD20" i="3" s="1"/>
  <c r="N9" i="3"/>
  <c r="Q9" i="3" s="1"/>
  <c r="T9" i="3" s="1"/>
  <c r="W9" i="3" s="1"/>
  <c r="Z9" i="3" s="1"/>
  <c r="AC9" i="3" s="1"/>
  <c r="AF9" i="3" s="1"/>
  <c r="AI9" i="3" s="1"/>
  <c r="AL9" i="3" s="1"/>
  <c r="AO9" i="3" s="1"/>
  <c r="AR9" i="3" s="1"/>
  <c r="AU9" i="3" s="1"/>
  <c r="AX9" i="3" s="1"/>
  <c r="BA9" i="3" s="1"/>
  <c r="BD9" i="3" s="1"/>
  <c r="W7" i="3"/>
  <c r="Z7" i="3" s="1"/>
  <c r="AC7" i="3" s="1"/>
  <c r="AF7" i="3" s="1"/>
  <c r="AI7" i="3" s="1"/>
  <c r="AL7" i="3" s="1"/>
  <c r="AO7" i="3" s="1"/>
  <c r="AR7" i="3" s="1"/>
  <c r="AU7" i="3" s="1"/>
  <c r="AX7" i="3" s="1"/>
  <c r="BA7" i="3" s="1"/>
  <c r="BD7" i="3" s="1"/>
  <c r="BA19" i="3"/>
  <c r="BD19" i="3" s="1"/>
  <c r="AO13" i="3"/>
  <c r="AR13" i="3" s="1"/>
  <c r="AU13" i="3" s="1"/>
  <c r="AX13" i="3" s="1"/>
  <c r="BA13" i="3" s="1"/>
  <c r="BD13" i="3" s="1"/>
  <c r="W21" i="3"/>
  <c r="Z21" i="3" s="1"/>
  <c r="AC21" i="3" s="1"/>
  <c r="AF21" i="3" s="1"/>
  <c r="AI21" i="3" s="1"/>
  <c r="AL21" i="3" s="1"/>
  <c r="AO21" i="3" s="1"/>
  <c r="AR21" i="3" s="1"/>
  <c r="AU21" i="3" s="1"/>
  <c r="AX21" i="3" s="1"/>
  <c r="BA21" i="3" s="1"/>
  <c r="BD21" i="3" s="1"/>
  <c r="AL6" i="3"/>
  <c r="AO6" i="3" s="1"/>
  <c r="AR6" i="3" s="1"/>
  <c r="AU6" i="3" s="1"/>
  <c r="AX6" i="3" s="1"/>
  <c r="BA6" i="3" s="1"/>
  <c r="BD6" i="3" s="1"/>
  <c r="AR8" i="3"/>
  <c r="AU8" i="3" s="1"/>
  <c r="AX8" i="3" s="1"/>
  <c r="BA8" i="3" s="1"/>
  <c r="BD8" i="3" s="1"/>
  <c r="K19" i="1"/>
  <c r="N19" i="1" s="1"/>
  <c r="W21" i="1"/>
  <c r="Z21" i="1" s="1"/>
  <c r="AC21" i="1" s="1"/>
  <c r="AF21" i="1" s="1"/>
  <c r="AI21" i="1" s="1"/>
  <c r="AL21" i="1" s="1"/>
  <c r="AO21" i="1" s="1"/>
  <c r="AR21" i="1" s="1"/>
  <c r="AU21" i="1" s="1"/>
  <c r="AX21" i="1" s="1"/>
  <c r="BA21" i="1" s="1"/>
  <c r="BD21" i="1" s="1"/>
  <c r="AL6" i="1"/>
  <c r="AO6" i="1" s="1"/>
  <c r="AR6" i="1" s="1"/>
  <c r="AU6" i="1" s="1"/>
  <c r="AX6" i="1" s="1"/>
  <c r="BA6" i="1" s="1"/>
  <c r="BD6" i="1" s="1"/>
  <c r="AO13" i="1"/>
  <c r="AR13" i="1" s="1"/>
  <c r="AU13" i="1" s="1"/>
  <c r="AX13" i="1" s="1"/>
  <c r="BA13" i="1" s="1"/>
  <c r="BD13" i="1" s="1"/>
  <c r="W7" i="1"/>
  <c r="Z7" i="1" s="1"/>
  <c r="AC7" i="1" s="1"/>
  <c r="AF7" i="1" s="1"/>
  <c r="AI7" i="1" s="1"/>
  <c r="AL7" i="1" s="1"/>
  <c r="AO7" i="1" s="1"/>
  <c r="AR7" i="1" s="1"/>
  <c r="AU7" i="1" s="1"/>
  <c r="AX7" i="1" s="1"/>
  <c r="BA7" i="1" s="1"/>
  <c r="BD7" i="1" s="1"/>
  <c r="AU17" i="1"/>
  <c r="AX17" i="1" s="1"/>
  <c r="BA17" i="1" s="1"/>
  <c r="BD17" i="1" s="1"/>
  <c r="Q9" i="1"/>
  <c r="H14" i="1"/>
  <c r="K14" i="1" s="1"/>
  <c r="N14" i="1" s="1"/>
  <c r="Q14" i="1" s="1"/>
  <c r="T14" i="1" s="1"/>
  <c r="W14" i="1" s="1"/>
  <c r="Z14" i="1" s="1"/>
  <c r="AC14" i="1" s="1"/>
  <c r="AF14" i="1" s="1"/>
  <c r="AI14" i="1" s="1"/>
  <c r="AL14" i="1" s="1"/>
  <c r="Q4" i="1"/>
  <c r="T4" i="1" s="1"/>
  <c r="U3" i="1"/>
  <c r="AO14" i="1" l="1"/>
  <c r="AR14" i="1" s="1"/>
  <c r="AU14" i="1" s="1"/>
  <c r="AX14" i="1" s="1"/>
  <c r="BA14" i="1" s="1"/>
  <c r="BD14" i="1" s="1"/>
  <c r="T9" i="1"/>
  <c r="Q19" i="1"/>
  <c r="T19" i="1" s="1"/>
  <c r="W19" i="1" s="1"/>
  <c r="Z19" i="1" s="1"/>
  <c r="AC19" i="1" s="1"/>
  <c r="AF19" i="1" s="1"/>
  <c r="AI19" i="1" s="1"/>
  <c r="AL19" i="1" s="1"/>
  <c r="AO19" i="1" s="1"/>
  <c r="AR19" i="1" s="1"/>
  <c r="AU19" i="1" s="1"/>
  <c r="AX19" i="1" s="1"/>
  <c r="BA19" i="1" s="1"/>
  <c r="BD19" i="1" s="1"/>
  <c r="W4" i="1"/>
  <c r="Z4" i="1" s="1"/>
  <c r="AC4" i="1" s="1"/>
  <c r="AF4" i="1" s="1"/>
  <c r="AI4" i="1" s="1"/>
  <c r="AL4" i="1" s="1"/>
  <c r="AO4" i="1" s="1"/>
  <c r="AR4" i="1" s="1"/>
  <c r="AU4" i="1" s="1"/>
  <c r="AX4" i="1" s="1"/>
  <c r="BA4" i="1" s="1"/>
  <c r="BD4" i="1" s="1"/>
  <c r="X3" i="1"/>
  <c r="W9" i="1" l="1"/>
  <c r="Z9" i="1" s="1"/>
  <c r="AC9" i="1" s="1"/>
  <c r="AF9" i="1" s="1"/>
  <c r="AI9" i="1" s="1"/>
  <c r="AL9" i="1" s="1"/>
  <c r="AO9" i="1" s="1"/>
  <c r="AR9" i="1" s="1"/>
  <c r="AU9" i="1" s="1"/>
  <c r="AX9" i="1" s="1"/>
  <c r="BA9" i="1" s="1"/>
  <c r="BD9" i="1" s="1"/>
  <c r="AA3" i="1"/>
  <c r="AD3" i="1" l="1"/>
  <c r="AG3" i="1" l="1"/>
  <c r="AJ3" i="1" l="1"/>
  <c r="AM3" i="1" l="1"/>
  <c r="AP3" i="1" l="1"/>
  <c r="AS3" i="1" l="1"/>
  <c r="AV3" i="1" l="1"/>
  <c r="AY3" i="1" l="1"/>
  <c r="BJ3" i="1" s="1"/>
  <c r="BB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<sst xmlns="http://schemas.openxmlformats.org/spreadsheetml/2006/main" count="1949" uniqueCount="59">
  <si>
    <t>par</t>
  </si>
  <si>
    <t>Wordle no.</t>
  </si>
  <si>
    <t>Leader board</t>
  </si>
  <si>
    <t>Golf hole/par/tot</t>
  </si>
  <si>
    <t>Par</t>
  </si>
  <si>
    <t>Tot</t>
  </si>
  <si>
    <t>After hole</t>
  </si>
  <si>
    <t>Nicole</t>
  </si>
  <si>
    <t>Ballantyne</t>
  </si>
  <si>
    <t>Alan</t>
  </si>
  <si>
    <t>Bentley</t>
  </si>
  <si>
    <t>Andy</t>
  </si>
  <si>
    <t>Sleigh</t>
  </si>
  <si>
    <t>Ash</t>
  </si>
  <si>
    <t>Ford-Parker</t>
  </si>
  <si>
    <t>Joe</t>
  </si>
  <si>
    <t>Cunningham</t>
  </si>
  <si>
    <t>Charlotte</t>
  </si>
  <si>
    <t>Baxter</t>
  </si>
  <si>
    <t>Mark</t>
  </si>
  <si>
    <t>Wilson</t>
  </si>
  <si>
    <t>Sue</t>
  </si>
  <si>
    <t>Marchant</t>
  </si>
  <si>
    <t>Tanya</t>
  </si>
  <si>
    <t>Moger</t>
  </si>
  <si>
    <t>Mean</t>
  </si>
  <si>
    <t>Did not send in a score</t>
  </si>
  <si>
    <t xml:space="preserve">Did not complete in 6 </t>
  </si>
  <si>
    <t/>
  </si>
  <si>
    <t>Josie</t>
  </si>
  <si>
    <t>Hart</t>
  </si>
  <si>
    <t>Merrill</t>
  </si>
  <si>
    <t>Ian</t>
  </si>
  <si>
    <t>Cheslett</t>
  </si>
  <si>
    <t>Jill</t>
  </si>
  <si>
    <t>Stevens</t>
  </si>
  <si>
    <t>Marella</t>
  </si>
  <si>
    <t>Cairns</t>
  </si>
  <si>
    <t>Rachel</t>
  </si>
  <si>
    <t>r2</t>
  </si>
  <si>
    <t>dif</t>
  </si>
  <si>
    <t>av</t>
  </si>
  <si>
    <t>Adrian</t>
  </si>
  <si>
    <t>Stout</t>
  </si>
  <si>
    <t>Dave</t>
  </si>
  <si>
    <t>Hadgraft</t>
  </si>
  <si>
    <t>Mary</t>
  </si>
  <si>
    <t>Louise</t>
  </si>
  <si>
    <t>Wayne</t>
  </si>
  <si>
    <t>Mendes</t>
  </si>
  <si>
    <t>Amie</t>
  </si>
  <si>
    <t>Sheedy</t>
  </si>
  <si>
    <t>Kate</t>
  </si>
  <si>
    <t>Newman</t>
  </si>
  <si>
    <t>Philip</t>
  </si>
  <si>
    <t>Bradbury</t>
  </si>
  <si>
    <t>Matt</t>
  </si>
  <si>
    <t>Bass</t>
  </si>
  <si>
    <t>Late starts - give par? Or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</si>
</sst>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46592608417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textRotation="90"/>
    </xf>
    <xf numFmtId="0" fontId="0" fillId="0" borderId="0" xfId="0" applyAlignment="1">
      <alignment horizontal="center" textRotation="9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5" borderId="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4" borderId="4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0" xfId="0" applyFill="1"/>
    <xf numFmtId="0" fontId="0" fillId="4" borderId="8" xfId="0" applyFill="1" applyBorder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5" borderId="6" xfId="0" applyFill="1" applyBorder="1" applyAlignment="1">
      <alignment horizontal="center"/>
    </xf>
    <xf numFmtId="0" fontId="0" fillId="0" borderId="3" xfId="0" applyBorder="1"/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0" xfId="0" applyNumberFormat="1"/>
    <xf numFmtId="1" fontId="0" fillId="0" borderId="3" xfId="0" applyNumberFormat="1" applyBorder="1"/>
    <xf numFmtId="1" fontId="0" fillId="0" borderId="7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251F-323E-405F-9A9D-B082796C1FD8}">
  <dimension ref="A1:BR60"/>
  <sheetViews>
    <sheetView tabSelected="1"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1" sqref="L21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45" customWidth="1"/>
    <col min="6" max="6" width="4.42578125" bestFit="1" customWidth="1"/>
    <col min="7" max="8" width="4.7109375" style="45" customWidth="1"/>
    <col min="9" max="9" width="4.7109375" customWidth="1"/>
    <col min="10" max="11" width="4.7109375" style="45" customWidth="1"/>
    <col min="12" max="12" width="4.42578125" bestFit="1" customWidth="1"/>
    <col min="13" max="14" width="4.7109375" style="45" customWidth="1"/>
    <col min="15" max="15" width="4.42578125" bestFit="1" customWidth="1"/>
    <col min="16" max="17" width="4.7109375" style="45" customWidth="1"/>
    <col min="18" max="18" width="4.42578125" bestFit="1" customWidth="1"/>
    <col min="19" max="20" width="4.7109375" style="45" customWidth="1"/>
    <col min="21" max="21" width="4.42578125" bestFit="1" customWidth="1"/>
    <col min="22" max="23" width="4.7109375" style="45" customWidth="1"/>
    <col min="24" max="24" width="4.42578125" bestFit="1" customWidth="1"/>
    <col min="25" max="26" width="4.7109375" style="45" customWidth="1"/>
    <col min="27" max="27" width="4.42578125" bestFit="1" customWidth="1"/>
    <col min="28" max="29" width="4.7109375" style="45" customWidth="1"/>
    <col min="30" max="30" width="4.42578125" bestFit="1" customWidth="1"/>
    <col min="31" max="32" width="4.7109375" style="45" customWidth="1"/>
    <col min="33" max="33" width="4.42578125" bestFit="1" customWidth="1"/>
    <col min="34" max="35" width="4.7109375" style="45" customWidth="1"/>
    <col min="36" max="36" width="4.42578125" bestFit="1" customWidth="1"/>
    <col min="37" max="38" width="4.7109375" style="45" customWidth="1"/>
    <col min="39" max="39" width="4.42578125" bestFit="1" customWidth="1"/>
    <col min="40" max="41" width="4.7109375" style="45" customWidth="1"/>
    <col min="42" max="42" width="4.42578125" bestFit="1" customWidth="1"/>
    <col min="43" max="44" width="4.7109375" style="45" customWidth="1"/>
    <col min="45" max="45" width="4.42578125" bestFit="1" customWidth="1"/>
    <col min="46" max="47" width="4.7109375" style="45" customWidth="1"/>
    <col min="48" max="48" width="4.42578125" bestFit="1" customWidth="1"/>
    <col min="49" max="50" width="4.7109375" style="45" customWidth="1"/>
    <col min="51" max="51" width="4.42578125" bestFit="1" customWidth="1"/>
    <col min="52" max="53" width="4.7109375" style="45" customWidth="1"/>
    <col min="54" max="54" width="4.42578125" bestFit="1" customWidth="1"/>
    <col min="55" max="56" width="4.7109375" style="45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45268</v>
      </c>
      <c r="D1" s="53"/>
      <c r="E1" s="54"/>
      <c r="F1" s="52">
        <f>C1+1</f>
        <v>45269</v>
      </c>
      <c r="G1" s="53"/>
      <c r="H1" s="54"/>
      <c r="I1" s="52">
        <f>F1+1</f>
        <v>45270</v>
      </c>
      <c r="J1" s="53"/>
      <c r="K1" s="54"/>
      <c r="L1" s="52">
        <f>I1+1</f>
        <v>45271</v>
      </c>
      <c r="M1" s="53"/>
      <c r="N1" s="54"/>
      <c r="O1" s="52">
        <f>L1+1</f>
        <v>45272</v>
      </c>
      <c r="P1" s="53"/>
      <c r="Q1" s="54"/>
      <c r="R1" s="52">
        <f>O1+1</f>
        <v>45273</v>
      </c>
      <c r="S1" s="53"/>
      <c r="T1" s="54"/>
      <c r="U1" s="52">
        <f>R1+1</f>
        <v>45274</v>
      </c>
      <c r="V1" s="53"/>
      <c r="W1" s="54"/>
      <c r="X1" s="52">
        <f>U1+1</f>
        <v>45275</v>
      </c>
      <c r="Y1" s="53"/>
      <c r="Z1" s="54"/>
      <c r="AA1" s="52">
        <f>X1+1</f>
        <v>45276</v>
      </c>
      <c r="AB1" s="53"/>
      <c r="AC1" s="54"/>
      <c r="AD1" s="52">
        <f>AA1+1</f>
        <v>45277</v>
      </c>
      <c r="AE1" s="53"/>
      <c r="AF1" s="54"/>
      <c r="AG1" s="52">
        <f>AD1+1</f>
        <v>45278</v>
      </c>
      <c r="AH1" s="53"/>
      <c r="AI1" s="54"/>
      <c r="AJ1" s="52">
        <f>AG1+1</f>
        <v>45279</v>
      </c>
      <c r="AK1" s="53"/>
      <c r="AL1" s="54"/>
      <c r="AM1" s="52">
        <f>AJ1+1</f>
        <v>45280</v>
      </c>
      <c r="AN1" s="53"/>
      <c r="AO1" s="54"/>
      <c r="AP1" s="52">
        <f>AM1+1</f>
        <v>45281</v>
      </c>
      <c r="AQ1" s="53"/>
      <c r="AR1" s="54"/>
      <c r="AS1" s="52">
        <f>AP1+1</f>
        <v>45282</v>
      </c>
      <c r="AT1" s="53"/>
      <c r="AU1" s="54"/>
      <c r="AV1" s="52">
        <f>AS1+1</f>
        <v>45283</v>
      </c>
      <c r="AW1" s="53"/>
      <c r="AX1" s="54"/>
      <c r="AY1" s="52">
        <f>AV1+1</f>
        <v>45284</v>
      </c>
      <c r="AZ1" s="53"/>
      <c r="BA1" s="54"/>
      <c r="BB1" s="52">
        <f>AY1+1</f>
        <v>45285</v>
      </c>
      <c r="BC1" s="53"/>
      <c r="BD1" s="54"/>
    </row>
    <row r="2" spans="1:70" x14ac:dyDescent="0.25">
      <c r="B2" s="9" t="s">
        <v>1</v>
      </c>
      <c r="C2" s="49">
        <v>902</v>
      </c>
      <c r="D2" s="50"/>
      <c r="E2" s="51"/>
      <c r="F2" s="49">
        <f>C2+1</f>
        <v>903</v>
      </c>
      <c r="G2" s="50"/>
      <c r="H2" s="51"/>
      <c r="I2" s="49">
        <f>F2+1</f>
        <v>904</v>
      </c>
      <c r="J2" s="50"/>
      <c r="K2" s="51"/>
      <c r="L2" s="49">
        <f>I2+1</f>
        <v>905</v>
      </c>
      <c r="M2" s="50"/>
      <c r="N2" s="51"/>
      <c r="O2" s="49">
        <f>L2+1</f>
        <v>906</v>
      </c>
      <c r="P2" s="50"/>
      <c r="Q2" s="51"/>
      <c r="R2" s="49">
        <f>O2+1</f>
        <v>907</v>
      </c>
      <c r="S2" s="50"/>
      <c r="T2" s="51"/>
      <c r="U2" s="49">
        <f>R2+1</f>
        <v>908</v>
      </c>
      <c r="V2" s="50"/>
      <c r="W2" s="51"/>
      <c r="X2" s="49">
        <f>U2+1</f>
        <v>909</v>
      </c>
      <c r="Y2" s="50"/>
      <c r="Z2" s="51"/>
      <c r="AA2" s="49">
        <f>X2+1</f>
        <v>910</v>
      </c>
      <c r="AB2" s="50"/>
      <c r="AC2" s="51"/>
      <c r="AD2" s="49">
        <f>AA2+1</f>
        <v>911</v>
      </c>
      <c r="AE2" s="50"/>
      <c r="AF2" s="51"/>
      <c r="AG2" s="49">
        <f>AD2+1</f>
        <v>912</v>
      </c>
      <c r="AH2" s="50"/>
      <c r="AI2" s="51"/>
      <c r="AJ2" s="49">
        <f>AG2+1</f>
        <v>913</v>
      </c>
      <c r="AK2" s="50"/>
      <c r="AL2" s="51"/>
      <c r="AM2" s="49">
        <f>AJ2+1</f>
        <v>914</v>
      </c>
      <c r="AN2" s="50"/>
      <c r="AO2" s="51"/>
      <c r="AP2" s="49">
        <f>AM2+1</f>
        <v>915</v>
      </c>
      <c r="AQ2" s="50"/>
      <c r="AR2" s="51"/>
      <c r="AS2" s="49">
        <f>AP2+1</f>
        <v>916</v>
      </c>
      <c r="AT2" s="50"/>
      <c r="AU2" s="51"/>
      <c r="AV2" s="49">
        <f>AS2+1</f>
        <v>917</v>
      </c>
      <c r="AW2" s="50"/>
      <c r="AX2" s="51"/>
      <c r="AY2" s="49">
        <f>AV2+1</f>
        <v>918</v>
      </c>
      <c r="AZ2" s="50"/>
      <c r="BA2" s="51"/>
      <c r="BB2" s="49">
        <f>AY2+1</f>
        <v>919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47">
        <v>1</v>
      </c>
      <c r="D3" s="47" t="s">
        <v>4</v>
      </c>
      <c r="E3" s="47" t="s">
        <v>5</v>
      </c>
      <c r="F3" s="47">
        <f>C3+1</f>
        <v>2</v>
      </c>
      <c r="G3" s="47" t="s">
        <v>4</v>
      </c>
      <c r="H3" s="47" t="s">
        <v>5</v>
      </c>
      <c r="I3" s="47">
        <f>F3+1</f>
        <v>3</v>
      </c>
      <c r="J3" s="47" t="s">
        <v>4</v>
      </c>
      <c r="K3" s="47" t="s">
        <v>5</v>
      </c>
      <c r="L3" s="47">
        <f>I3+1</f>
        <v>4</v>
      </c>
      <c r="M3" s="47" t="s">
        <v>4</v>
      </c>
      <c r="N3" s="47" t="s">
        <v>5</v>
      </c>
      <c r="O3" s="47">
        <f>L3+1</f>
        <v>5</v>
      </c>
      <c r="P3" s="47" t="s">
        <v>4</v>
      </c>
      <c r="Q3" s="47" t="s">
        <v>5</v>
      </c>
      <c r="R3" s="47">
        <f>O3+1</f>
        <v>6</v>
      </c>
      <c r="S3" s="47" t="s">
        <v>4</v>
      </c>
      <c r="T3" s="47" t="s">
        <v>5</v>
      </c>
      <c r="U3" s="47">
        <f>R3+1</f>
        <v>7</v>
      </c>
      <c r="V3" s="47" t="s">
        <v>4</v>
      </c>
      <c r="W3" s="47" t="s">
        <v>5</v>
      </c>
      <c r="X3" s="47">
        <f>U3+1</f>
        <v>8</v>
      </c>
      <c r="Y3" s="47" t="s">
        <v>4</v>
      </c>
      <c r="Z3" s="47" t="s">
        <v>5</v>
      </c>
      <c r="AA3" s="47">
        <f>X3+1</f>
        <v>9</v>
      </c>
      <c r="AB3" s="47" t="s">
        <v>4</v>
      </c>
      <c r="AC3" s="47" t="s">
        <v>5</v>
      </c>
      <c r="AD3" s="47">
        <f>AA3+1</f>
        <v>10</v>
      </c>
      <c r="AE3" s="47" t="s">
        <v>4</v>
      </c>
      <c r="AF3" s="47" t="s">
        <v>5</v>
      </c>
      <c r="AG3" s="47">
        <f>AD3+1</f>
        <v>11</v>
      </c>
      <c r="AH3" s="47" t="s">
        <v>4</v>
      </c>
      <c r="AI3" s="47" t="s">
        <v>5</v>
      </c>
      <c r="AJ3" s="47">
        <f>AG3+1</f>
        <v>12</v>
      </c>
      <c r="AK3" s="47" t="s">
        <v>4</v>
      </c>
      <c r="AL3" s="47" t="s">
        <v>5</v>
      </c>
      <c r="AM3" s="47">
        <f>AJ3+1</f>
        <v>13</v>
      </c>
      <c r="AN3" s="47" t="s">
        <v>4</v>
      </c>
      <c r="AO3" s="47" t="s">
        <v>5</v>
      </c>
      <c r="AP3" s="47">
        <f>AM3+1</f>
        <v>14</v>
      </c>
      <c r="AQ3" s="47" t="s">
        <v>4</v>
      </c>
      <c r="AR3" s="47" t="s">
        <v>5</v>
      </c>
      <c r="AS3" s="47">
        <f>AP3+1</f>
        <v>15</v>
      </c>
      <c r="AT3" s="47" t="s">
        <v>4</v>
      </c>
      <c r="AU3" s="47" t="s">
        <v>5</v>
      </c>
      <c r="AV3" s="47">
        <f>AS3+1</f>
        <v>16</v>
      </c>
      <c r="AW3" s="47" t="s">
        <v>4</v>
      </c>
      <c r="AX3" s="47" t="s">
        <v>5</v>
      </c>
      <c r="AY3" s="47">
        <f>AV3+1</f>
        <v>17</v>
      </c>
      <c r="AZ3" s="47" t="s">
        <v>4</v>
      </c>
      <c r="BA3" s="47" t="s">
        <v>5</v>
      </c>
      <c r="BB3" s="47">
        <f>AY3+1</f>
        <v>18</v>
      </c>
      <c r="BC3" s="47" t="s">
        <v>4</v>
      </c>
      <c r="BD3" s="47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3</v>
      </c>
      <c r="D4" s="18">
        <f>IF(C4&lt;&gt;"",C4-$B$1,"")</f>
        <v>-1</v>
      </c>
      <c r="E4" s="24">
        <f>D4</f>
        <v>-1</v>
      </c>
      <c r="F4" s="38"/>
      <c r="G4" s="18" t="str">
        <f>IF(F4&lt;&gt;"",F4-$B$1,"")</f>
        <v/>
      </c>
      <c r="H4" s="46" t="str">
        <f>IF(F4&lt;&gt;"",E4+G4,"")</f>
        <v/>
      </c>
      <c r="I4" s="38"/>
      <c r="J4" s="18" t="str">
        <f>IF(I4&lt;&gt;"",I4-$B$1,"")</f>
        <v/>
      </c>
      <c r="K4" s="46" t="str">
        <f>IF(I4&lt;&gt;"",H4+J4,"")</f>
        <v/>
      </c>
      <c r="L4" s="38"/>
      <c r="M4" s="18" t="str">
        <f>IF(L4&lt;&gt;"",L4-$B$1,"")</f>
        <v/>
      </c>
      <c r="N4" s="46" t="str">
        <f>IF(L4&lt;&gt;"",K4+M4,"")</f>
        <v/>
      </c>
      <c r="O4" s="38"/>
      <c r="P4" s="18" t="str">
        <f>IF(O4&lt;&gt;"",O4-$B$1,"")</f>
        <v/>
      </c>
      <c r="Q4" s="46" t="str">
        <f>IF(O4&lt;&gt;"",N4+P4,"")</f>
        <v/>
      </c>
      <c r="R4" s="38"/>
      <c r="S4" s="18" t="str">
        <f>IF(R4&lt;&gt;"",R4-$B$1,"")</f>
        <v/>
      </c>
      <c r="T4" s="46" t="str">
        <f>IF(R4&lt;&gt;"",Q4+S4,"")</f>
        <v/>
      </c>
      <c r="U4" s="38"/>
      <c r="V4" s="18" t="str">
        <f>IF(U4&lt;&gt;"",U4-$B$1,"")</f>
        <v/>
      </c>
      <c r="W4" s="46" t="str">
        <f>IF(U4&lt;&gt;"",T4+V4,"")</f>
        <v/>
      </c>
      <c r="X4" s="38"/>
      <c r="Y4" s="18" t="str">
        <f>IF(X4&lt;&gt;"",X4-$B$1,"")</f>
        <v/>
      </c>
      <c r="Z4" s="46" t="str">
        <f>IF(X4&lt;&gt;"",W4+Y4,"")</f>
        <v/>
      </c>
      <c r="AA4" s="38"/>
      <c r="AB4" s="18" t="str">
        <f>IF(AA4&lt;&gt;"",AA4-$B$1,"")</f>
        <v/>
      </c>
      <c r="AC4" s="46" t="str">
        <f>IF(AA4&lt;&gt;"",Z4+AB4,"")</f>
        <v/>
      </c>
      <c r="AD4" s="38"/>
      <c r="AE4" s="18" t="str">
        <f>IF(AD4&lt;&gt;"",AD4-$B$1,"")</f>
        <v/>
      </c>
      <c r="AF4" s="46" t="str">
        <f>IF(AD4&lt;&gt;"",AC4+AE4,"")</f>
        <v/>
      </c>
      <c r="AG4" s="38"/>
      <c r="AH4" s="18" t="str">
        <f>IF(AG4&lt;&gt;"",AG4-$B$1,"")</f>
        <v/>
      </c>
      <c r="AI4" s="46" t="str">
        <f>IF(AG4&lt;&gt;"",AF4+AH4,"")</f>
        <v/>
      </c>
      <c r="AJ4" s="38"/>
      <c r="AK4" s="18" t="str">
        <f>IF(AJ4&lt;&gt;"",AJ4-$B$1,"")</f>
        <v/>
      </c>
      <c r="AL4" s="46" t="str">
        <f>IF(AJ4&lt;&gt;"",AI4+AK4,"")</f>
        <v/>
      </c>
      <c r="AM4" s="38"/>
      <c r="AN4" s="18" t="str">
        <f>IF(AM4&lt;&gt;"",AM4-$B$1,"")</f>
        <v/>
      </c>
      <c r="AO4" s="46" t="str">
        <f>IF(AM4&lt;&gt;"",AL4+AN4,"")</f>
        <v/>
      </c>
      <c r="AP4" s="38"/>
      <c r="AQ4" s="18" t="str">
        <f>IF(AP4&lt;&gt;"",AP4-$B$1,"")</f>
        <v/>
      </c>
      <c r="AR4" s="46" t="str">
        <f>IF(AP4&lt;&gt;"",AO4+AQ4,"")</f>
        <v/>
      </c>
      <c r="AS4" s="38"/>
      <c r="AT4" s="18" t="str">
        <f>IF(AS4&lt;&gt;"",AS4-$B$1,"")</f>
        <v/>
      </c>
      <c r="AU4" s="46" t="str">
        <f>IF(AS4&lt;&gt;"",AR4+AT4,"")</f>
        <v/>
      </c>
      <c r="AV4" s="38"/>
      <c r="AW4" s="18" t="str">
        <f>IF(AV4&lt;&gt;"",AV4-$B$1,"")</f>
        <v/>
      </c>
      <c r="AX4" s="46" t="str">
        <f>IF(AV4&lt;&gt;"",AU4+AW4,"")</f>
        <v/>
      </c>
      <c r="AY4" s="38"/>
      <c r="AZ4" s="18" t="str">
        <f>IF(AY4&lt;&gt;"",AY4-$B$1,"")</f>
        <v/>
      </c>
      <c r="BA4" s="46" t="str">
        <f>IF(AY4&lt;&gt;"",AX4+AZ4,"")</f>
        <v/>
      </c>
      <c r="BB4" s="38"/>
      <c r="BC4" s="18" t="str">
        <f>IF(BB4&lt;&gt;"",BB4-$B$1,"")</f>
        <v/>
      </c>
      <c r="BD4" s="46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4</v>
      </c>
      <c r="D5" s="45">
        <f t="shared" ref="D5:D9" si="0">IF(C5&lt;&gt;"",C5-$B$1,"")</f>
        <v>0</v>
      </c>
      <c r="E5" s="46">
        <f t="shared" ref="E5:E9" si="1">D5</f>
        <v>0</v>
      </c>
      <c r="F5" s="16"/>
      <c r="G5" s="45" t="str">
        <f t="shared" ref="G5:G9" si="2">IF(F5&lt;&gt;"",F5-$B$1,"")</f>
        <v/>
      </c>
      <c r="H5" s="46" t="str">
        <f t="shared" ref="H5:H9" si="3">IF(F5&lt;&gt;"",E5+G5,"")</f>
        <v/>
      </c>
      <c r="I5" s="16"/>
      <c r="J5" s="45" t="str">
        <f t="shared" ref="J5:J9" si="4">IF(I5&lt;&gt;"",I5-$B$1,"")</f>
        <v/>
      </c>
      <c r="K5" s="46" t="str">
        <f t="shared" ref="K5:K9" si="5">IF(I5&lt;&gt;"",H5+J5,"")</f>
        <v/>
      </c>
      <c r="L5" s="16"/>
      <c r="M5" s="45" t="str">
        <f t="shared" ref="M5:M9" si="6">IF(L5&lt;&gt;"",L5-$B$1,"")</f>
        <v/>
      </c>
      <c r="N5" s="46" t="str">
        <f t="shared" ref="N5:N9" si="7">IF(L5&lt;&gt;"",K5+M5,"")</f>
        <v/>
      </c>
      <c r="O5" s="16"/>
      <c r="P5" s="45" t="str">
        <f t="shared" ref="P5:P9" si="8">IF(O5&lt;&gt;"",O5-$B$1,"")</f>
        <v/>
      </c>
      <c r="Q5" s="46" t="str">
        <f t="shared" ref="Q5:Q9" si="9">IF(O5&lt;&gt;"",N5+P5,"")</f>
        <v/>
      </c>
      <c r="R5" s="16"/>
      <c r="S5" s="45" t="str">
        <f t="shared" ref="S5:S9" si="10">IF(R5&lt;&gt;"",R5-$B$1,"")</f>
        <v/>
      </c>
      <c r="T5" s="46" t="str">
        <f t="shared" ref="T5:T9" si="11">IF(R5&lt;&gt;"",Q5+S5,"")</f>
        <v/>
      </c>
      <c r="U5" s="16"/>
      <c r="V5" s="45" t="str">
        <f t="shared" ref="V5:V9" si="12">IF(U5&lt;&gt;"",U5-$B$1,"")</f>
        <v/>
      </c>
      <c r="W5" s="46" t="str">
        <f t="shared" ref="W5:W9" si="13">IF(U5&lt;&gt;"",T5+V5,"")</f>
        <v/>
      </c>
      <c r="X5" s="16"/>
      <c r="Y5" s="45" t="str">
        <f t="shared" ref="Y5:Y9" si="14">IF(X5&lt;&gt;"",X5-$B$1,"")</f>
        <v/>
      </c>
      <c r="Z5" s="46" t="str">
        <f t="shared" ref="Z5:Z9" si="15">IF(X5&lt;&gt;"",W5+Y5,"")</f>
        <v/>
      </c>
      <c r="AA5" s="16"/>
      <c r="AB5" s="45" t="str">
        <f t="shared" ref="AB5:AB9" si="16">IF(AA5&lt;&gt;"",AA5-$B$1,"")</f>
        <v/>
      </c>
      <c r="AC5" s="46" t="str">
        <f t="shared" ref="AC5:AC9" si="17">IF(AA5&lt;&gt;"",Z5+AB5,"")</f>
        <v/>
      </c>
      <c r="AD5" s="16"/>
      <c r="AE5" s="45" t="str">
        <f t="shared" ref="AE5:AE9" si="18">IF(AD5&lt;&gt;"",AD5-$B$1,"")</f>
        <v/>
      </c>
      <c r="AF5" s="46" t="str">
        <f t="shared" ref="AF5:AF9" si="19">IF(AD5&lt;&gt;"",AC5+AE5,"")</f>
        <v/>
      </c>
      <c r="AG5" s="16"/>
      <c r="AH5" s="45" t="str">
        <f t="shared" ref="AH5:AH9" si="20">IF(AG5&lt;&gt;"",AG5-$B$1,"")</f>
        <v/>
      </c>
      <c r="AI5" s="46" t="str">
        <f t="shared" ref="AI5:AI9" si="21">IF(AG5&lt;&gt;"",AF5+AH5,"")</f>
        <v/>
      </c>
      <c r="AJ5" s="16"/>
      <c r="AK5" s="45" t="str">
        <f t="shared" ref="AK5:AK9" si="22">IF(AJ5&lt;&gt;"",AJ5-$B$1,"")</f>
        <v/>
      </c>
      <c r="AL5" s="46" t="str">
        <f t="shared" ref="AL5:AL9" si="23">IF(AJ5&lt;&gt;"",AI5+AK5,"")</f>
        <v/>
      </c>
      <c r="AM5" s="16"/>
      <c r="AN5" s="45" t="str">
        <f t="shared" ref="AN5:AN9" si="24">IF(AM5&lt;&gt;"",AM5-$B$1,"")</f>
        <v/>
      </c>
      <c r="AO5" s="46" t="str">
        <f t="shared" ref="AO5:AO9" si="25">IF(AM5&lt;&gt;"",AL5+AN5,"")</f>
        <v/>
      </c>
      <c r="AP5" s="16"/>
      <c r="AQ5" s="45" t="str">
        <f t="shared" ref="AQ5:AQ9" si="26">IF(AP5&lt;&gt;"",AP5-$B$1,"")</f>
        <v/>
      </c>
      <c r="AR5" s="46" t="str">
        <f t="shared" ref="AR5:AR9" si="27">IF(AP5&lt;&gt;"",AO5+AQ5,"")</f>
        <v/>
      </c>
      <c r="AS5" s="16"/>
      <c r="AT5" s="45" t="str">
        <f t="shared" ref="AT5:AT9" si="28">IF(AS5&lt;&gt;"",AS5-$B$1,"")</f>
        <v/>
      </c>
      <c r="AU5" s="46" t="str">
        <f>IF(AS5&lt;&gt;"",AR5+AT5,"")</f>
        <v/>
      </c>
      <c r="AV5" s="16"/>
      <c r="AW5" s="45" t="str">
        <f t="shared" ref="AW5:AW9" si="29">IF(AV5&lt;&gt;"",AV5-$B$1,"")</f>
        <v/>
      </c>
      <c r="AX5" s="46" t="str">
        <f t="shared" ref="AX5:AX9" si="30">IF(AV5&lt;&gt;"",AU5+AW5,"")</f>
        <v/>
      </c>
      <c r="AY5" s="16"/>
      <c r="AZ5" s="45" t="str">
        <f t="shared" ref="AZ5:AZ9" si="31">IF(AY5&lt;&gt;"",AY5-$B$1,"")</f>
        <v/>
      </c>
      <c r="BA5" s="46" t="str">
        <f t="shared" ref="BA5:BA9" si="32">IF(AY5&lt;&gt;"",AX5+AZ5,"")</f>
        <v/>
      </c>
      <c r="BB5" s="16"/>
      <c r="BC5" s="45" t="str">
        <f t="shared" ref="BC5:BC9" si="33">IF(BB5&lt;&gt;"",BB5-$B$1,"")</f>
        <v/>
      </c>
      <c r="BD5" s="46" t="str">
        <f t="shared" ref="BD5:BD9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3</v>
      </c>
      <c r="D6" s="45">
        <f t="shared" si="0"/>
        <v>-1</v>
      </c>
      <c r="E6" s="46">
        <f t="shared" si="1"/>
        <v>-1</v>
      </c>
      <c r="F6" s="16"/>
      <c r="G6" s="45" t="str">
        <f t="shared" si="2"/>
        <v/>
      </c>
      <c r="H6" s="46" t="str">
        <f t="shared" si="3"/>
        <v/>
      </c>
      <c r="I6" s="16"/>
      <c r="J6" s="45" t="str">
        <f t="shared" si="4"/>
        <v/>
      </c>
      <c r="K6" s="46" t="str">
        <f t="shared" si="5"/>
        <v/>
      </c>
      <c r="L6" s="16"/>
      <c r="M6" s="45" t="str">
        <f t="shared" si="6"/>
        <v/>
      </c>
      <c r="N6" s="46" t="str">
        <f t="shared" si="7"/>
        <v/>
      </c>
      <c r="O6" s="16"/>
      <c r="P6" s="45" t="str">
        <f t="shared" si="8"/>
        <v/>
      </c>
      <c r="Q6" s="46" t="str">
        <f t="shared" si="9"/>
        <v/>
      </c>
      <c r="R6" s="16"/>
      <c r="S6" s="45" t="str">
        <f t="shared" si="10"/>
        <v/>
      </c>
      <c r="T6" s="46" t="str">
        <f t="shared" si="11"/>
        <v/>
      </c>
      <c r="U6" s="16"/>
      <c r="V6" s="45" t="str">
        <f t="shared" si="12"/>
        <v/>
      </c>
      <c r="W6" s="46" t="str">
        <f t="shared" si="13"/>
        <v/>
      </c>
      <c r="X6" s="16"/>
      <c r="Y6" s="45" t="str">
        <f t="shared" si="14"/>
        <v/>
      </c>
      <c r="Z6" s="46" t="str">
        <f t="shared" si="15"/>
        <v/>
      </c>
      <c r="AA6" s="16"/>
      <c r="AB6" s="45" t="str">
        <f t="shared" si="16"/>
        <v/>
      </c>
      <c r="AC6" s="46" t="str">
        <f t="shared" si="17"/>
        <v/>
      </c>
      <c r="AD6" s="16"/>
      <c r="AE6" s="45" t="str">
        <f t="shared" si="18"/>
        <v/>
      </c>
      <c r="AF6" s="46" t="str">
        <f t="shared" si="19"/>
        <v/>
      </c>
      <c r="AG6" s="16"/>
      <c r="AH6" s="45" t="str">
        <f t="shared" si="20"/>
        <v/>
      </c>
      <c r="AI6" s="46" t="str">
        <f t="shared" si="21"/>
        <v/>
      </c>
      <c r="AJ6" s="16"/>
      <c r="AK6" s="45" t="str">
        <f t="shared" si="22"/>
        <v/>
      </c>
      <c r="AL6" s="46" t="str">
        <f t="shared" si="23"/>
        <v/>
      </c>
      <c r="AM6" s="16"/>
      <c r="AN6" s="45" t="str">
        <f t="shared" si="24"/>
        <v/>
      </c>
      <c r="AO6" s="46" t="str">
        <f t="shared" si="25"/>
        <v/>
      </c>
      <c r="AP6" s="16"/>
      <c r="AQ6" s="45" t="str">
        <f t="shared" si="26"/>
        <v/>
      </c>
      <c r="AR6" s="46" t="str">
        <f>IF(AP6&lt;&gt;"",AO6+AQ6,"")</f>
        <v/>
      </c>
      <c r="AS6" s="16"/>
      <c r="AT6" s="45" t="str">
        <f t="shared" si="28"/>
        <v/>
      </c>
      <c r="AU6" s="46" t="str">
        <f t="shared" ref="AU6:AU9" si="35">IF(AS6&lt;&gt;"",AR6+AT6,"")</f>
        <v/>
      </c>
      <c r="AV6" s="16"/>
      <c r="AW6" s="45" t="str">
        <f t="shared" si="29"/>
        <v/>
      </c>
      <c r="AX6" s="46" t="str">
        <f t="shared" si="30"/>
        <v/>
      </c>
      <c r="AY6" s="16"/>
      <c r="AZ6" s="45" t="str">
        <f t="shared" si="31"/>
        <v/>
      </c>
      <c r="BA6" s="46" t="str">
        <f t="shared" si="32"/>
        <v/>
      </c>
      <c r="BB6" s="16"/>
      <c r="BC6" s="45" t="str">
        <f t="shared" si="33"/>
        <v/>
      </c>
      <c r="BD6" s="46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5</v>
      </c>
      <c r="D7" s="45">
        <f t="shared" si="0"/>
        <v>1</v>
      </c>
      <c r="E7" s="46">
        <f t="shared" si="1"/>
        <v>1</v>
      </c>
      <c r="F7" s="16"/>
      <c r="G7" s="45" t="str">
        <f t="shared" si="2"/>
        <v/>
      </c>
      <c r="H7" s="46" t="str">
        <f t="shared" si="3"/>
        <v/>
      </c>
      <c r="I7" s="16"/>
      <c r="J7" s="45" t="str">
        <f t="shared" si="4"/>
        <v/>
      </c>
      <c r="K7" s="46" t="str">
        <f t="shared" si="5"/>
        <v/>
      </c>
      <c r="L7" s="16"/>
      <c r="M7" s="45" t="str">
        <f t="shared" si="6"/>
        <v/>
      </c>
      <c r="N7" s="46" t="str">
        <f t="shared" si="7"/>
        <v/>
      </c>
      <c r="O7" s="16"/>
      <c r="P7" s="45" t="str">
        <f t="shared" si="8"/>
        <v/>
      </c>
      <c r="Q7" s="46" t="str">
        <f t="shared" si="9"/>
        <v/>
      </c>
      <c r="R7" s="16"/>
      <c r="S7" s="45" t="str">
        <f t="shared" si="10"/>
        <v/>
      </c>
      <c r="T7" s="46" t="str">
        <f t="shared" si="11"/>
        <v/>
      </c>
      <c r="U7" s="16"/>
      <c r="V7" s="45" t="str">
        <f t="shared" si="12"/>
        <v/>
      </c>
      <c r="W7" s="46" t="str">
        <f t="shared" si="13"/>
        <v/>
      </c>
      <c r="X7" s="16"/>
      <c r="Y7" s="45" t="str">
        <f t="shared" si="14"/>
        <v/>
      </c>
      <c r="Z7" s="46" t="str">
        <f t="shared" si="15"/>
        <v/>
      </c>
      <c r="AA7" s="16"/>
      <c r="AB7" s="45" t="str">
        <f t="shared" si="16"/>
        <v/>
      </c>
      <c r="AC7" s="46" t="str">
        <f t="shared" si="17"/>
        <v/>
      </c>
      <c r="AD7" s="16"/>
      <c r="AE7" s="45" t="str">
        <f>IF(AD7&lt;&gt;"",AD7-$B$1,"")</f>
        <v/>
      </c>
      <c r="AF7" s="46" t="str">
        <f>IF(AD7&lt;&gt;"",AC7+AE7,"")</f>
        <v/>
      </c>
      <c r="AG7" s="16"/>
      <c r="AH7" s="45" t="str">
        <f t="shared" si="20"/>
        <v/>
      </c>
      <c r="AI7" s="46" t="str">
        <f t="shared" si="21"/>
        <v/>
      </c>
      <c r="AJ7" s="16"/>
      <c r="AK7" s="45" t="str">
        <f t="shared" si="22"/>
        <v/>
      </c>
      <c r="AL7" s="46" t="str">
        <f t="shared" si="23"/>
        <v/>
      </c>
      <c r="AM7" s="16"/>
      <c r="AN7" s="45" t="str">
        <f t="shared" si="24"/>
        <v/>
      </c>
      <c r="AO7" s="46" t="str">
        <f t="shared" si="25"/>
        <v/>
      </c>
      <c r="AP7" s="16"/>
      <c r="AQ7" s="45" t="str">
        <f t="shared" si="26"/>
        <v/>
      </c>
      <c r="AR7" s="46" t="str">
        <f t="shared" si="27"/>
        <v/>
      </c>
      <c r="AS7" s="16"/>
      <c r="AT7" s="45" t="str">
        <f t="shared" si="28"/>
        <v/>
      </c>
      <c r="AU7" s="46" t="str">
        <f>IF(AS7&lt;&gt;"",AR7+AT7,"")</f>
        <v/>
      </c>
      <c r="AV7" s="16"/>
      <c r="AW7" s="45" t="str">
        <f t="shared" si="29"/>
        <v/>
      </c>
      <c r="AX7" s="46" t="str">
        <f t="shared" si="30"/>
        <v/>
      </c>
      <c r="AY7" s="16"/>
      <c r="AZ7" s="45" t="str">
        <f t="shared" si="31"/>
        <v/>
      </c>
      <c r="BA7" s="46" t="str">
        <f t="shared" si="32"/>
        <v/>
      </c>
      <c r="BB7" s="16"/>
      <c r="BC7" s="45" t="str">
        <f t="shared" si="33"/>
        <v/>
      </c>
      <c r="BD7" s="46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3</v>
      </c>
      <c r="D8" s="45">
        <f t="shared" si="0"/>
        <v>-1</v>
      </c>
      <c r="E8" s="46">
        <f t="shared" si="1"/>
        <v>-1</v>
      </c>
      <c r="F8" s="16"/>
      <c r="G8" s="45" t="str">
        <f t="shared" si="2"/>
        <v/>
      </c>
      <c r="H8" s="46" t="str">
        <f t="shared" si="3"/>
        <v/>
      </c>
      <c r="I8" s="16"/>
      <c r="J8" s="45" t="str">
        <f t="shared" si="4"/>
        <v/>
      </c>
      <c r="K8" s="46" t="str">
        <f t="shared" si="5"/>
        <v/>
      </c>
      <c r="L8" s="16"/>
      <c r="M8" s="45" t="str">
        <f t="shared" si="6"/>
        <v/>
      </c>
      <c r="N8" s="46" t="str">
        <f t="shared" si="7"/>
        <v/>
      </c>
      <c r="O8" s="16"/>
      <c r="P8" s="45" t="str">
        <f t="shared" si="8"/>
        <v/>
      </c>
      <c r="Q8" s="46" t="str">
        <f t="shared" si="9"/>
        <v/>
      </c>
      <c r="R8" s="16"/>
      <c r="S8" s="45" t="str">
        <f t="shared" si="10"/>
        <v/>
      </c>
      <c r="T8" s="46" t="str">
        <f t="shared" si="11"/>
        <v/>
      </c>
      <c r="U8" s="16"/>
      <c r="V8" s="45" t="str">
        <f t="shared" si="12"/>
        <v/>
      </c>
      <c r="W8" s="46" t="str">
        <f t="shared" si="13"/>
        <v/>
      </c>
      <c r="X8" s="16"/>
      <c r="Y8" s="45" t="str">
        <f t="shared" si="14"/>
        <v/>
      </c>
      <c r="Z8" s="46" t="str">
        <f t="shared" si="15"/>
        <v/>
      </c>
      <c r="AA8" s="16"/>
      <c r="AB8" s="45" t="str">
        <f t="shared" si="16"/>
        <v/>
      </c>
      <c r="AC8" s="46" t="str">
        <f t="shared" si="17"/>
        <v/>
      </c>
      <c r="AD8" s="16"/>
      <c r="AE8" s="45" t="str">
        <f t="shared" si="18"/>
        <v/>
      </c>
      <c r="AF8" s="46" t="str">
        <f t="shared" si="19"/>
        <v/>
      </c>
      <c r="AG8" s="16"/>
      <c r="AH8" s="45" t="str">
        <f t="shared" si="20"/>
        <v/>
      </c>
      <c r="AI8" s="46" t="str">
        <f t="shared" si="21"/>
        <v/>
      </c>
      <c r="AJ8" s="16"/>
      <c r="AK8" s="45" t="str">
        <f t="shared" si="22"/>
        <v/>
      </c>
      <c r="AL8" s="46" t="str">
        <f t="shared" si="23"/>
        <v/>
      </c>
      <c r="AM8" s="16"/>
      <c r="AN8" s="45" t="str">
        <f t="shared" si="24"/>
        <v/>
      </c>
      <c r="AO8" s="46" t="str">
        <f t="shared" si="25"/>
        <v/>
      </c>
      <c r="AP8" s="16"/>
      <c r="AQ8" s="45" t="str">
        <f t="shared" si="26"/>
        <v/>
      </c>
      <c r="AR8" s="46" t="str">
        <f t="shared" si="27"/>
        <v/>
      </c>
      <c r="AS8" s="16"/>
      <c r="AT8" s="45" t="str">
        <f t="shared" si="28"/>
        <v/>
      </c>
      <c r="AU8" s="46" t="str">
        <f t="shared" si="35"/>
        <v/>
      </c>
      <c r="AV8" s="16"/>
      <c r="AW8" s="45" t="str">
        <f t="shared" si="29"/>
        <v/>
      </c>
      <c r="AX8" s="46" t="str">
        <f t="shared" si="30"/>
        <v/>
      </c>
      <c r="AY8" s="16"/>
      <c r="AZ8" s="45" t="str">
        <f t="shared" si="31"/>
        <v/>
      </c>
      <c r="BA8" s="46" t="str">
        <f t="shared" si="32"/>
        <v/>
      </c>
      <c r="BB8" s="16"/>
      <c r="BC8" s="45" t="str">
        <f t="shared" si="33"/>
        <v/>
      </c>
      <c r="BD8" s="46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/>
      <c r="D9" s="45" t="str">
        <f t="shared" si="0"/>
        <v/>
      </c>
      <c r="E9" s="46" t="str">
        <f t="shared" si="1"/>
        <v/>
      </c>
      <c r="F9" s="16"/>
      <c r="G9" s="45" t="str">
        <f t="shared" si="2"/>
        <v/>
      </c>
      <c r="H9" s="46" t="str">
        <f t="shared" si="3"/>
        <v/>
      </c>
      <c r="I9" s="16"/>
      <c r="J9" s="45" t="str">
        <f t="shared" si="4"/>
        <v/>
      </c>
      <c r="K9" s="46" t="str">
        <f t="shared" si="5"/>
        <v/>
      </c>
      <c r="L9" s="16"/>
      <c r="M9" s="45" t="str">
        <f t="shared" si="6"/>
        <v/>
      </c>
      <c r="N9" s="46" t="str">
        <f t="shared" si="7"/>
        <v/>
      </c>
      <c r="O9" s="16"/>
      <c r="P9" s="45" t="str">
        <f t="shared" si="8"/>
        <v/>
      </c>
      <c r="Q9" s="46" t="str">
        <f t="shared" si="9"/>
        <v/>
      </c>
      <c r="R9" s="16"/>
      <c r="S9" s="45" t="str">
        <f t="shared" si="10"/>
        <v/>
      </c>
      <c r="T9" s="46" t="str">
        <f t="shared" si="11"/>
        <v/>
      </c>
      <c r="U9" s="16"/>
      <c r="V9" s="45" t="str">
        <f t="shared" si="12"/>
        <v/>
      </c>
      <c r="W9" s="46" t="str">
        <f t="shared" si="13"/>
        <v/>
      </c>
      <c r="X9" s="16"/>
      <c r="Y9" s="45" t="str">
        <f t="shared" si="14"/>
        <v/>
      </c>
      <c r="Z9" s="46" t="str">
        <f t="shared" si="15"/>
        <v/>
      </c>
      <c r="AA9" s="16"/>
      <c r="AB9" s="45" t="str">
        <f t="shared" si="16"/>
        <v/>
      </c>
      <c r="AC9" s="46" t="str">
        <f t="shared" si="17"/>
        <v/>
      </c>
      <c r="AD9" s="16"/>
      <c r="AE9" s="45" t="str">
        <f t="shared" si="18"/>
        <v/>
      </c>
      <c r="AF9" s="46" t="str">
        <f t="shared" si="19"/>
        <v/>
      </c>
      <c r="AG9" s="16"/>
      <c r="AH9" s="45" t="str">
        <f t="shared" si="20"/>
        <v/>
      </c>
      <c r="AI9" s="46" t="str">
        <f t="shared" si="21"/>
        <v/>
      </c>
      <c r="AJ9" s="16"/>
      <c r="AK9" s="45" t="str">
        <f t="shared" si="22"/>
        <v/>
      </c>
      <c r="AL9" s="46" t="str">
        <f t="shared" si="23"/>
        <v/>
      </c>
      <c r="AM9" s="16"/>
      <c r="AN9" s="45" t="str">
        <f t="shared" si="24"/>
        <v/>
      </c>
      <c r="AO9" s="46" t="str">
        <f t="shared" si="25"/>
        <v/>
      </c>
      <c r="AP9" s="16"/>
      <c r="AQ9" s="45" t="str">
        <f t="shared" si="26"/>
        <v/>
      </c>
      <c r="AR9" s="46" t="str">
        <f t="shared" si="27"/>
        <v/>
      </c>
      <c r="AS9" s="16"/>
      <c r="AT9" s="45" t="str">
        <f t="shared" si="28"/>
        <v/>
      </c>
      <c r="AU9" s="46" t="str">
        <f t="shared" si="35"/>
        <v/>
      </c>
      <c r="AV9" s="16"/>
      <c r="AW9" s="45" t="str">
        <f t="shared" si="29"/>
        <v/>
      </c>
      <c r="AX9" s="46" t="str">
        <f t="shared" si="30"/>
        <v/>
      </c>
      <c r="AY9" s="16"/>
      <c r="AZ9" s="45" t="str">
        <f t="shared" si="31"/>
        <v/>
      </c>
      <c r="BA9" s="46" t="str">
        <f t="shared" si="32"/>
        <v/>
      </c>
      <c r="BB9" s="16"/>
      <c r="BC9" s="45" t="str">
        <f t="shared" si="33"/>
        <v/>
      </c>
      <c r="BD9" s="46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46"/>
      <c r="F10" s="32"/>
      <c r="H10" s="46"/>
      <c r="I10" s="32"/>
      <c r="K10" s="46"/>
      <c r="L10" s="32"/>
      <c r="N10" s="46"/>
      <c r="O10" s="32"/>
      <c r="Q10" s="46"/>
      <c r="R10" s="32"/>
      <c r="T10" s="46"/>
      <c r="U10" s="32"/>
      <c r="W10" s="46"/>
      <c r="X10" s="32"/>
      <c r="Z10" s="46"/>
      <c r="AA10" s="32"/>
      <c r="AC10" s="46"/>
      <c r="AD10" s="32"/>
      <c r="AF10" s="46"/>
      <c r="AG10" s="32"/>
      <c r="AI10" s="46"/>
      <c r="AJ10" s="32"/>
      <c r="AL10" s="46"/>
      <c r="AM10" s="32"/>
      <c r="AO10" s="46"/>
      <c r="AP10" s="32"/>
      <c r="AR10" s="46"/>
      <c r="AS10" s="32"/>
      <c r="AU10" s="46"/>
      <c r="AV10" s="32"/>
      <c r="AX10" s="46"/>
      <c r="AY10" s="32"/>
      <c r="BA10" s="46"/>
      <c r="BB10" s="32"/>
      <c r="BD10" s="46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3.6</v>
      </c>
      <c r="D13" s="3"/>
      <c r="E13" s="3"/>
      <c r="F13" s="3" t="str">
        <f>IF(COUNT(F4:F11)&gt;0,AVERAGE(F4:F11),"")</f>
        <v/>
      </c>
      <c r="G13" s="3"/>
      <c r="H13" s="3"/>
      <c r="I13" s="3" t="str">
        <f>IF(COUNT(I4:I11)&gt;0,AVERAGE(I4:I11),"")</f>
        <v/>
      </c>
      <c r="J13" s="3"/>
      <c r="K13" s="3"/>
      <c r="L13" s="3" t="str">
        <f>IF(COUNT(L4:L11)&gt;0,AVERAGE(L4:L11),"")</f>
        <v/>
      </c>
      <c r="M13" s="3"/>
      <c r="N13" s="3"/>
      <c r="O13" s="3" t="str">
        <f>IF(COUNT(O4:O11)&gt;0,AVERAGE(O4:O11),"")</f>
        <v/>
      </c>
      <c r="P13" s="3"/>
      <c r="Q13" s="3"/>
      <c r="R13" s="3" t="str">
        <f>IF(COUNT(R4:R11)&gt;0,AVERAGE(R4:R11),"")</f>
        <v/>
      </c>
      <c r="S13" s="3"/>
      <c r="T13" s="3"/>
      <c r="U13" s="3" t="str">
        <f>IF(COUNT(U4:U11)&gt;0,AVERAGE(U4:U11),"")</f>
        <v/>
      </c>
      <c r="V13" s="3"/>
      <c r="W13" s="3"/>
      <c r="X13" s="3" t="str">
        <f>IF(COUNT(X4:X11)&gt;0,AVERAGE(X4:X11),"")</f>
        <v/>
      </c>
      <c r="Y13" s="3"/>
      <c r="Z13" s="3"/>
      <c r="AA13" s="3" t="str">
        <f>IF(COUNT(AA4:AA11)&gt;0,AVERAGE(AA4:AA11),"")</f>
        <v/>
      </c>
      <c r="AB13" s="3"/>
      <c r="AC13" s="3"/>
      <c r="AD13" s="3" t="str">
        <f>IF(COUNT(AD4:AD11)&gt;0,AVERAGE(AD4:AD11),"")</f>
        <v/>
      </c>
      <c r="AE13" s="3"/>
      <c r="AF13" s="3"/>
      <c r="AG13" s="3" t="str">
        <f>IF(COUNT(AG4:AG11)&gt;0,AVERAGE(AG4:AG11),"")</f>
        <v/>
      </c>
      <c r="AH13" s="3"/>
      <c r="AI13" s="3"/>
      <c r="AJ13" s="3" t="str">
        <f>IF(COUNT(AJ4:AJ11)&gt;0,AVERAGE(AJ4:AJ11),"")</f>
        <v/>
      </c>
      <c r="AK13" s="3"/>
      <c r="AL13" s="3"/>
      <c r="AM13" s="3" t="str">
        <f>IF(COUNT(AM4:AM11)&gt;0,AVERAGE(AM4:AM11),"")</f>
        <v/>
      </c>
      <c r="AN13" s="18"/>
      <c r="AO13" s="18"/>
      <c r="AP13" s="3" t="str">
        <f>IF(COUNT(AP4:AP11)&gt;0,AVERAGE(AP4:AP11),"")</f>
        <v/>
      </c>
      <c r="AQ13" s="18"/>
      <c r="AR13" s="18"/>
      <c r="AS13" s="3" t="str">
        <f>IF(COUNT(AS4:AS11)&gt;0,AVERAGE(AS4:AS11),"")</f>
        <v/>
      </c>
      <c r="AT13" s="18"/>
      <c r="AU13" s="18"/>
      <c r="AV13" s="3" t="str">
        <f>IF(COUNT(AV4:AV11)&gt;0,AVERAGE(AV4:AV11),"")</f>
        <v/>
      </c>
      <c r="AW13" s="18"/>
      <c r="AX13" s="18"/>
      <c r="AY13" s="3" t="str">
        <f>IF(COUNT(AY4:AY11)&gt;0,AVERAGE(AY4:AY11),"")</f>
        <v/>
      </c>
      <c r="AZ13" s="18"/>
      <c r="BA13" s="18"/>
      <c r="BB13" s="3" t="str">
        <f>IF(COUNT(BB4:BB11)&gt;0,AVERAGE(BB4:BB11),"")</f>
        <v/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45"/>
      <c r="D17" s="7"/>
      <c r="F17" s="45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U2:W2"/>
    <mergeCell ref="X2:Z2"/>
    <mergeCell ref="AA2:AC2"/>
    <mergeCell ref="AD2:AF2"/>
    <mergeCell ref="AG2:AI2"/>
    <mergeCell ref="AJ2:AL2"/>
    <mergeCell ref="C2:E2"/>
    <mergeCell ref="F2:H2"/>
    <mergeCell ref="I2:K2"/>
    <mergeCell ref="L2:N2"/>
    <mergeCell ref="O2:Q2"/>
    <mergeCell ref="R2:T2"/>
    <mergeCell ref="AM1:AO1"/>
    <mergeCell ref="AP1:AR1"/>
    <mergeCell ref="AS1:AU1"/>
    <mergeCell ref="AV1:AX1"/>
    <mergeCell ref="AY1:BA1"/>
    <mergeCell ref="BB1:BD1"/>
    <mergeCell ref="U1:W1"/>
    <mergeCell ref="X1:Z1"/>
    <mergeCell ref="AA1:AC1"/>
    <mergeCell ref="AD1:AF1"/>
    <mergeCell ref="AG1:AI1"/>
    <mergeCell ref="AJ1:AL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E3B-0538-4338-A753-3917DDF1465A}">
  <dimension ref="A1:BR60"/>
  <sheetViews>
    <sheetView zoomScale="96" zoomScaleNormal="96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45247</v>
      </c>
      <c r="D1" s="53"/>
      <c r="E1" s="54"/>
      <c r="F1" s="52">
        <f>C1+1</f>
        <v>45248</v>
      </c>
      <c r="G1" s="53"/>
      <c r="H1" s="54"/>
      <c r="I1" s="52">
        <f>F1+1</f>
        <v>45249</v>
      </c>
      <c r="J1" s="53"/>
      <c r="K1" s="54"/>
      <c r="L1" s="52">
        <f>I1+1</f>
        <v>45250</v>
      </c>
      <c r="M1" s="53"/>
      <c r="N1" s="54"/>
      <c r="O1" s="52">
        <f>L1+1</f>
        <v>45251</v>
      </c>
      <c r="P1" s="53"/>
      <c r="Q1" s="54"/>
      <c r="R1" s="52">
        <f>O1+1</f>
        <v>45252</v>
      </c>
      <c r="S1" s="53"/>
      <c r="T1" s="54"/>
      <c r="U1" s="52">
        <f>R1+1</f>
        <v>45253</v>
      </c>
      <c r="V1" s="53"/>
      <c r="W1" s="54"/>
      <c r="X1" s="52">
        <f>U1+1</f>
        <v>45254</v>
      </c>
      <c r="Y1" s="53"/>
      <c r="Z1" s="54"/>
      <c r="AA1" s="52">
        <f>X1+1</f>
        <v>45255</v>
      </c>
      <c r="AB1" s="53"/>
      <c r="AC1" s="54"/>
      <c r="AD1" s="52">
        <f>AA1+1</f>
        <v>45256</v>
      </c>
      <c r="AE1" s="53"/>
      <c r="AF1" s="54"/>
      <c r="AG1" s="52">
        <f>AD1+1</f>
        <v>45257</v>
      </c>
      <c r="AH1" s="53"/>
      <c r="AI1" s="54"/>
      <c r="AJ1" s="52">
        <f>AG1+1</f>
        <v>45258</v>
      </c>
      <c r="AK1" s="53"/>
      <c r="AL1" s="54"/>
      <c r="AM1" s="52">
        <f>AJ1+1</f>
        <v>45259</v>
      </c>
      <c r="AN1" s="53"/>
      <c r="AO1" s="54"/>
      <c r="AP1" s="52">
        <f>AM1+1</f>
        <v>45260</v>
      </c>
      <c r="AQ1" s="53"/>
      <c r="AR1" s="54"/>
      <c r="AS1" s="52">
        <f>AP1+1</f>
        <v>45261</v>
      </c>
      <c r="AT1" s="53"/>
      <c r="AU1" s="54"/>
      <c r="AV1" s="52">
        <f>AS1+1</f>
        <v>45262</v>
      </c>
      <c r="AW1" s="53"/>
      <c r="AX1" s="54"/>
      <c r="AY1" s="52">
        <f>AV1+1</f>
        <v>45263</v>
      </c>
      <c r="AZ1" s="53"/>
      <c r="BA1" s="54"/>
      <c r="BB1" s="52">
        <f>AY1+1</f>
        <v>45264</v>
      </c>
      <c r="BC1" s="53"/>
      <c r="BD1" s="54"/>
    </row>
    <row r="2" spans="1:70" x14ac:dyDescent="0.25">
      <c r="B2" s="9" t="s">
        <v>1</v>
      </c>
      <c r="C2" s="49">
        <v>881</v>
      </c>
      <c r="D2" s="50"/>
      <c r="E2" s="51"/>
      <c r="F2" s="49">
        <f>C2+1</f>
        <v>882</v>
      </c>
      <c r="G2" s="50"/>
      <c r="H2" s="51"/>
      <c r="I2" s="49">
        <f>F2+1</f>
        <v>883</v>
      </c>
      <c r="J2" s="50"/>
      <c r="K2" s="51"/>
      <c r="L2" s="49">
        <f>I2+1</f>
        <v>884</v>
      </c>
      <c r="M2" s="50"/>
      <c r="N2" s="51"/>
      <c r="O2" s="49">
        <f>L2+1</f>
        <v>885</v>
      </c>
      <c r="P2" s="50"/>
      <c r="Q2" s="51"/>
      <c r="R2" s="49">
        <f>O2+1</f>
        <v>886</v>
      </c>
      <c r="S2" s="50"/>
      <c r="T2" s="51"/>
      <c r="U2" s="49">
        <f>R2+1</f>
        <v>887</v>
      </c>
      <c r="V2" s="50"/>
      <c r="W2" s="51"/>
      <c r="X2" s="49">
        <f>U2+1</f>
        <v>888</v>
      </c>
      <c r="Y2" s="50"/>
      <c r="Z2" s="51"/>
      <c r="AA2" s="49">
        <f>X2+1</f>
        <v>889</v>
      </c>
      <c r="AB2" s="50"/>
      <c r="AC2" s="51"/>
      <c r="AD2" s="49">
        <f>AA2+1</f>
        <v>890</v>
      </c>
      <c r="AE2" s="50"/>
      <c r="AF2" s="51"/>
      <c r="AG2" s="49">
        <f>AD2+1</f>
        <v>891</v>
      </c>
      <c r="AH2" s="50"/>
      <c r="AI2" s="51"/>
      <c r="AJ2" s="49">
        <f>AG2+1</f>
        <v>892</v>
      </c>
      <c r="AK2" s="50"/>
      <c r="AL2" s="51"/>
      <c r="AM2" s="49">
        <f>AJ2+1</f>
        <v>893</v>
      </c>
      <c r="AN2" s="50"/>
      <c r="AO2" s="51"/>
      <c r="AP2" s="49">
        <f>AM2+1</f>
        <v>894</v>
      </c>
      <c r="AQ2" s="50"/>
      <c r="AR2" s="51"/>
      <c r="AS2" s="49">
        <f>AP2+1</f>
        <v>895</v>
      </c>
      <c r="AT2" s="50"/>
      <c r="AU2" s="51"/>
      <c r="AV2" s="49">
        <f>AS2+1</f>
        <v>896</v>
      </c>
      <c r="AW2" s="50"/>
      <c r="AX2" s="51"/>
      <c r="AY2" s="49">
        <f>AV2+1</f>
        <v>897</v>
      </c>
      <c r="AZ2" s="50"/>
      <c r="BA2" s="51"/>
      <c r="BB2" s="49">
        <f>AY2+1</f>
        <v>898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38">
        <v>4</v>
      </c>
      <c r="G4" s="18">
        <f>IF(F4&lt;&gt;"",F4-$B$1,"")</f>
        <v>0</v>
      </c>
      <c r="H4" s="13">
        <f>IF(F4&lt;&gt;"",E4+G4,"")</f>
        <v>0</v>
      </c>
      <c r="I4" s="38">
        <v>4</v>
      </c>
      <c r="J4" s="18">
        <f>IF(I4&lt;&gt;"",I4-$B$1,"")</f>
        <v>0</v>
      </c>
      <c r="K4" s="13">
        <f>IF(I4&lt;&gt;"",H4+J4,"")</f>
        <v>0</v>
      </c>
      <c r="L4" s="38">
        <v>5</v>
      </c>
      <c r="M4" s="18">
        <f>IF(L4&lt;&gt;"",L4-$B$1,"")</f>
        <v>1</v>
      </c>
      <c r="N4" s="13">
        <f>IF(L4&lt;&gt;"",K4+M4,"")</f>
        <v>1</v>
      </c>
      <c r="O4" s="38">
        <v>3</v>
      </c>
      <c r="P4" s="18">
        <f>IF(O4&lt;&gt;"",O4-$B$1,"")</f>
        <v>-1</v>
      </c>
      <c r="Q4" s="13">
        <f>IF(O4&lt;&gt;"",N4+P4,"")</f>
        <v>0</v>
      </c>
      <c r="R4" s="38">
        <v>3</v>
      </c>
      <c r="S4" s="18">
        <f>IF(R4&lt;&gt;"",R4-$B$1,"")</f>
        <v>-1</v>
      </c>
      <c r="T4" s="13">
        <f>IF(R4&lt;&gt;"",Q4+S4,"")</f>
        <v>-1</v>
      </c>
      <c r="U4" s="38">
        <v>3</v>
      </c>
      <c r="V4" s="18">
        <f>IF(U4&lt;&gt;"",U4-$B$1,"")</f>
        <v>-1</v>
      </c>
      <c r="W4" s="13">
        <f>IF(U4&lt;&gt;"",T4+V4,"")</f>
        <v>-2</v>
      </c>
      <c r="X4" s="38">
        <v>4</v>
      </c>
      <c r="Y4" s="18">
        <f>IF(X4&lt;&gt;"",X4-$B$1,"")</f>
        <v>0</v>
      </c>
      <c r="Z4" s="13">
        <f>IF(X4&lt;&gt;"",W4+Y4,"")</f>
        <v>-2</v>
      </c>
      <c r="AA4" s="38">
        <v>2</v>
      </c>
      <c r="AB4" s="18">
        <f>IF(AA4&lt;&gt;"",AA4-$B$1,"")</f>
        <v>-2</v>
      </c>
      <c r="AC4" s="13">
        <f>IF(AA4&lt;&gt;"",Z4+AB4,"")</f>
        <v>-4</v>
      </c>
      <c r="AD4" s="38">
        <v>3</v>
      </c>
      <c r="AE4" s="18">
        <f>IF(AD4&lt;&gt;"",AD4-$B$1,"")</f>
        <v>-1</v>
      </c>
      <c r="AF4" s="13">
        <f>IF(AD4&lt;&gt;"",AC4+AE4,"")</f>
        <v>-5</v>
      </c>
      <c r="AG4" s="38">
        <v>4</v>
      </c>
      <c r="AH4" s="18">
        <f>IF(AG4&lt;&gt;"",AG4-$B$1,"")</f>
        <v>0</v>
      </c>
      <c r="AI4" s="13">
        <f>IF(AG4&lt;&gt;"",AF4+AH4,"")</f>
        <v>-5</v>
      </c>
      <c r="AJ4" s="38">
        <v>4</v>
      </c>
      <c r="AK4" s="18">
        <f>IF(AJ4&lt;&gt;"",AJ4-$B$1,"")</f>
        <v>0</v>
      </c>
      <c r="AL4" s="13">
        <f>IF(AJ4&lt;&gt;"",AI4+AK4,"")</f>
        <v>-5</v>
      </c>
      <c r="AM4" s="38">
        <v>4</v>
      </c>
      <c r="AN4" s="18">
        <f>IF(AM4&lt;&gt;"",AM4-$B$1,"")</f>
        <v>0</v>
      </c>
      <c r="AO4" s="13">
        <f>IF(AM4&lt;&gt;"",AL4+AN4,"")</f>
        <v>-5</v>
      </c>
      <c r="AP4" s="38">
        <v>3</v>
      </c>
      <c r="AQ4" s="18">
        <f>IF(AP4&lt;&gt;"",AP4-$B$1,"")</f>
        <v>-1</v>
      </c>
      <c r="AR4" s="13">
        <f>IF(AP4&lt;&gt;"",AO4+AQ4,"")</f>
        <v>-6</v>
      </c>
      <c r="AS4" s="38">
        <v>4</v>
      </c>
      <c r="AT4" s="18">
        <f>IF(AS4&lt;&gt;"",AS4-$B$1,"")</f>
        <v>0</v>
      </c>
      <c r="AU4" s="13">
        <f>IF(AS4&lt;&gt;"",AR4+AT4,"")</f>
        <v>-6</v>
      </c>
      <c r="AV4" s="38">
        <v>4</v>
      </c>
      <c r="AW4" s="18">
        <f>IF(AV4&lt;&gt;"",AV4-$B$1,"")</f>
        <v>0</v>
      </c>
      <c r="AX4" s="13">
        <f>IF(AV4&lt;&gt;"",AU4+AW4,"")</f>
        <v>-6</v>
      </c>
      <c r="AY4" s="38">
        <v>3</v>
      </c>
      <c r="AZ4" s="18">
        <f>IF(AY4&lt;&gt;"",AY4-$B$1,"")</f>
        <v>-1</v>
      </c>
      <c r="BA4" s="13">
        <f>IF(AY4&lt;&gt;"",AX4+AZ4,"")</f>
        <v>-7</v>
      </c>
      <c r="BB4" s="38">
        <v>4</v>
      </c>
      <c r="BC4" s="18">
        <f>IF(BB4&lt;&gt;"",BB4-$B$1,"")</f>
        <v>0</v>
      </c>
      <c r="BD4" s="13">
        <f>IF(BB4&lt;&gt;"",BA4+BC4,"")</f>
        <v>-7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0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0</v>
      </c>
      <c r="L5" s="16">
        <v>3</v>
      </c>
      <c r="M5" s="2">
        <f t="shared" ref="M5:M9" si="6">IF(L5&lt;&gt;"",L5-$B$1,"")</f>
        <v>-1</v>
      </c>
      <c r="N5" s="13">
        <f t="shared" ref="N5:N9" si="7">IF(L5&lt;&gt;"",K5+M5,"")</f>
        <v>-1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-2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-1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0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-1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0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-1</v>
      </c>
      <c r="AG5" s="16">
        <v>2</v>
      </c>
      <c r="AH5" s="2">
        <f t="shared" ref="AH5:AH9" si="20">IF(AG5&lt;&gt;"",AG5-$B$1,"")</f>
        <v>-2</v>
      </c>
      <c r="AI5" s="13">
        <f t="shared" ref="AI5:AI9" si="21">IF(AG5&lt;&gt;"",AF5+AH5,"")</f>
        <v>-3</v>
      </c>
      <c r="AJ5" s="16">
        <v>4</v>
      </c>
      <c r="AK5" s="2">
        <f t="shared" ref="AK5:AK9" si="22">IF(AJ5&lt;&gt;"",AJ5-$B$1,"")</f>
        <v>0</v>
      </c>
      <c r="AL5" s="13">
        <f t="shared" ref="AL5:AL9" si="23">IF(AJ5&lt;&gt;"",AI5+AK5,"")</f>
        <v>-3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-3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-4</v>
      </c>
      <c r="AS5" s="16">
        <v>5</v>
      </c>
      <c r="AT5" s="2">
        <f t="shared" ref="AT5:AT9" si="28">IF(AS5&lt;&gt;"",AS5-$B$1,"")</f>
        <v>1</v>
      </c>
      <c r="AU5" s="13">
        <f>IF(AS5&lt;&gt;"",AR5+AT5,"")</f>
        <v>-3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-4</v>
      </c>
      <c r="AY5" s="16">
        <v>3</v>
      </c>
      <c r="AZ5" s="2">
        <f t="shared" ref="AZ5:AZ9" si="31">IF(AY5&lt;&gt;"",AY5-$B$1,"")</f>
        <v>-1</v>
      </c>
      <c r="BA5" s="13">
        <f t="shared" ref="BA5:BA9" si="32">IF(AY5&lt;&gt;"",AX5+AZ5,"")</f>
        <v>-5</v>
      </c>
      <c r="BB5" s="16">
        <v>2</v>
      </c>
      <c r="BC5" s="2">
        <f t="shared" ref="BC5:BC9" si="33">IF(BB5&lt;&gt;"",BB5-$B$1,"")</f>
        <v>-2</v>
      </c>
      <c r="BD5" s="13">
        <f t="shared" ref="BD5:BD9" si="34">IF(BB5&lt;&gt;"",BA5+BC5,"")</f>
        <v>-7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4</v>
      </c>
      <c r="J6" s="2">
        <f t="shared" si="4"/>
        <v>0</v>
      </c>
      <c r="K6" s="13">
        <f t="shared" si="5"/>
        <v>-2</v>
      </c>
      <c r="L6" s="16">
        <v>4</v>
      </c>
      <c r="M6" s="2">
        <f t="shared" si="6"/>
        <v>0</v>
      </c>
      <c r="N6" s="13">
        <f t="shared" si="7"/>
        <v>-2</v>
      </c>
      <c r="O6" s="16">
        <v>3</v>
      </c>
      <c r="P6" s="2">
        <f t="shared" si="8"/>
        <v>-1</v>
      </c>
      <c r="Q6" s="13">
        <f t="shared" si="9"/>
        <v>-3</v>
      </c>
      <c r="R6" s="16">
        <v>3</v>
      </c>
      <c r="S6" s="2">
        <f t="shared" si="10"/>
        <v>-1</v>
      </c>
      <c r="T6" s="13">
        <f t="shared" si="11"/>
        <v>-4</v>
      </c>
      <c r="U6" s="16">
        <v>3</v>
      </c>
      <c r="V6" s="2">
        <f t="shared" si="12"/>
        <v>-1</v>
      </c>
      <c r="W6" s="13">
        <f t="shared" si="13"/>
        <v>-5</v>
      </c>
      <c r="X6" s="16">
        <v>4</v>
      </c>
      <c r="Y6" s="2">
        <f t="shared" si="14"/>
        <v>0</v>
      </c>
      <c r="Z6" s="13">
        <f t="shared" si="15"/>
        <v>-5</v>
      </c>
      <c r="AA6" s="16">
        <v>1</v>
      </c>
      <c r="AB6" s="2">
        <f t="shared" si="16"/>
        <v>-3</v>
      </c>
      <c r="AC6" s="13">
        <f t="shared" si="17"/>
        <v>-8</v>
      </c>
      <c r="AD6" s="16">
        <v>2</v>
      </c>
      <c r="AE6" s="2">
        <f t="shared" si="18"/>
        <v>-2</v>
      </c>
      <c r="AF6" s="13">
        <f t="shared" si="19"/>
        <v>-10</v>
      </c>
      <c r="AG6" s="16">
        <v>3</v>
      </c>
      <c r="AH6" s="2">
        <f t="shared" si="20"/>
        <v>-1</v>
      </c>
      <c r="AI6" s="13">
        <f t="shared" si="21"/>
        <v>-11</v>
      </c>
      <c r="AJ6" s="16">
        <v>3</v>
      </c>
      <c r="AK6" s="2">
        <f t="shared" si="22"/>
        <v>-1</v>
      </c>
      <c r="AL6" s="13">
        <f t="shared" si="23"/>
        <v>-12</v>
      </c>
      <c r="AM6" s="16">
        <v>3</v>
      </c>
      <c r="AN6" s="2">
        <f t="shared" si="24"/>
        <v>-1</v>
      </c>
      <c r="AO6" s="13">
        <f t="shared" si="25"/>
        <v>-13</v>
      </c>
      <c r="AP6" s="16">
        <v>4</v>
      </c>
      <c r="AQ6" s="2">
        <f t="shared" si="26"/>
        <v>0</v>
      </c>
      <c r="AR6" s="13">
        <f>IF(AP6&lt;&gt;"",AO6+AQ6,"")</f>
        <v>-13</v>
      </c>
      <c r="AS6" s="6">
        <v>7.0000999999999998</v>
      </c>
      <c r="AT6" s="2">
        <f t="shared" si="28"/>
        <v>3.0000999999999998</v>
      </c>
      <c r="AU6" s="13">
        <f t="shared" ref="AU6:AU9" si="35">IF(AS6&lt;&gt;"",AR6+AT6,"")</f>
        <v>-9.9999000000000002</v>
      </c>
      <c r="AV6" s="16">
        <v>3</v>
      </c>
      <c r="AW6" s="2">
        <f t="shared" si="29"/>
        <v>-1</v>
      </c>
      <c r="AX6" s="13">
        <f t="shared" si="30"/>
        <v>-10.9999</v>
      </c>
      <c r="AY6" s="16">
        <v>3</v>
      </c>
      <c r="AZ6" s="2">
        <f t="shared" si="31"/>
        <v>-1</v>
      </c>
      <c r="BA6" s="13">
        <f t="shared" si="32"/>
        <v>-11.9999</v>
      </c>
      <c r="BB6" s="16">
        <v>2</v>
      </c>
      <c r="BC6" s="2">
        <f t="shared" si="33"/>
        <v>-2</v>
      </c>
      <c r="BD6" s="13">
        <f t="shared" si="34"/>
        <v>-13.9999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4</v>
      </c>
      <c r="J7" s="2">
        <f t="shared" si="4"/>
        <v>0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4</v>
      </c>
      <c r="P7" s="2">
        <f t="shared" si="8"/>
        <v>0</v>
      </c>
      <c r="Q7" s="13">
        <f t="shared" si="9"/>
        <v>-1</v>
      </c>
      <c r="R7" s="16">
        <v>5</v>
      </c>
      <c r="S7" s="2">
        <f t="shared" si="10"/>
        <v>1</v>
      </c>
      <c r="T7" s="13">
        <f t="shared" si="11"/>
        <v>0</v>
      </c>
      <c r="U7" s="16">
        <v>5</v>
      </c>
      <c r="V7" s="2">
        <f t="shared" si="12"/>
        <v>1</v>
      </c>
      <c r="W7" s="13">
        <f t="shared" si="13"/>
        <v>1</v>
      </c>
      <c r="X7" s="16">
        <v>5</v>
      </c>
      <c r="Y7" s="2">
        <f t="shared" si="14"/>
        <v>1</v>
      </c>
      <c r="Z7" s="13">
        <f t="shared" si="15"/>
        <v>2</v>
      </c>
      <c r="AA7" s="16">
        <v>5</v>
      </c>
      <c r="AB7" s="2">
        <f t="shared" si="16"/>
        <v>1</v>
      </c>
      <c r="AC7" s="13">
        <f t="shared" si="17"/>
        <v>3</v>
      </c>
      <c r="AD7" s="16">
        <v>3</v>
      </c>
      <c r="AE7" s="2">
        <f>IF(AD7&lt;&gt;"",AD7-$B$1,"")</f>
        <v>-1</v>
      </c>
      <c r="AF7" s="13">
        <f>IF(AD7&lt;&gt;"",AC7+AE7,"")</f>
        <v>2</v>
      </c>
      <c r="AG7" s="16">
        <v>5</v>
      </c>
      <c r="AH7" s="2">
        <f t="shared" si="20"/>
        <v>1</v>
      </c>
      <c r="AI7" s="13">
        <f t="shared" si="21"/>
        <v>3</v>
      </c>
      <c r="AJ7" s="16">
        <v>3</v>
      </c>
      <c r="AK7" s="2">
        <f t="shared" si="22"/>
        <v>-1</v>
      </c>
      <c r="AL7" s="13">
        <f t="shared" si="23"/>
        <v>2</v>
      </c>
      <c r="AM7" s="16">
        <v>5</v>
      </c>
      <c r="AN7" s="2">
        <f t="shared" si="24"/>
        <v>1</v>
      </c>
      <c r="AO7" s="13">
        <f t="shared" si="25"/>
        <v>3</v>
      </c>
      <c r="AP7" s="16">
        <v>4</v>
      </c>
      <c r="AQ7" s="2">
        <f t="shared" si="26"/>
        <v>0</v>
      </c>
      <c r="AR7" s="13">
        <f t="shared" si="27"/>
        <v>3</v>
      </c>
      <c r="AS7" s="16">
        <v>4</v>
      </c>
      <c r="AT7" s="2">
        <f t="shared" si="28"/>
        <v>0</v>
      </c>
      <c r="AU7" s="13">
        <f>IF(AS7&lt;&gt;"",AR7+AT7,"")</f>
        <v>3</v>
      </c>
      <c r="AV7" s="16">
        <v>3</v>
      </c>
      <c r="AW7" s="2">
        <f t="shared" si="29"/>
        <v>-1</v>
      </c>
      <c r="AX7" s="13">
        <f t="shared" si="30"/>
        <v>2</v>
      </c>
      <c r="AY7" s="16">
        <v>4</v>
      </c>
      <c r="AZ7" s="2">
        <f t="shared" si="31"/>
        <v>0</v>
      </c>
      <c r="BA7" s="13">
        <f t="shared" si="32"/>
        <v>2</v>
      </c>
      <c r="BB7" s="16">
        <v>3</v>
      </c>
      <c r="BC7" s="2">
        <f t="shared" si="33"/>
        <v>-1</v>
      </c>
      <c r="BD7" s="13">
        <f t="shared" si="34"/>
        <v>1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5</v>
      </c>
      <c r="G8" s="2">
        <f t="shared" si="2"/>
        <v>1</v>
      </c>
      <c r="H8" s="13">
        <f t="shared" si="3"/>
        <v>1</v>
      </c>
      <c r="I8" s="16">
        <v>3</v>
      </c>
      <c r="J8" s="2">
        <f t="shared" si="4"/>
        <v>-1</v>
      </c>
      <c r="K8" s="13">
        <f t="shared" si="5"/>
        <v>0</v>
      </c>
      <c r="L8" s="16">
        <v>5</v>
      </c>
      <c r="M8" s="2">
        <f t="shared" si="6"/>
        <v>1</v>
      </c>
      <c r="N8" s="13">
        <f t="shared" si="7"/>
        <v>1</v>
      </c>
      <c r="O8" s="16">
        <v>5</v>
      </c>
      <c r="P8" s="2">
        <f t="shared" si="8"/>
        <v>1</v>
      </c>
      <c r="Q8" s="13">
        <f t="shared" si="9"/>
        <v>2</v>
      </c>
      <c r="R8" s="16">
        <v>5</v>
      </c>
      <c r="S8" s="2">
        <f t="shared" si="10"/>
        <v>1</v>
      </c>
      <c r="T8" s="13">
        <f t="shared" si="11"/>
        <v>3</v>
      </c>
      <c r="U8" s="16">
        <v>3</v>
      </c>
      <c r="V8" s="2">
        <f t="shared" si="12"/>
        <v>-1</v>
      </c>
      <c r="W8" s="13">
        <f t="shared" si="13"/>
        <v>2</v>
      </c>
      <c r="X8" s="16">
        <v>3</v>
      </c>
      <c r="Y8" s="2">
        <f t="shared" si="14"/>
        <v>-1</v>
      </c>
      <c r="Z8" s="13">
        <f t="shared" si="15"/>
        <v>1</v>
      </c>
      <c r="AA8" s="16">
        <v>5</v>
      </c>
      <c r="AB8" s="2">
        <f t="shared" si="16"/>
        <v>1</v>
      </c>
      <c r="AC8" s="13">
        <f t="shared" si="17"/>
        <v>2</v>
      </c>
      <c r="AD8" s="16">
        <v>3</v>
      </c>
      <c r="AE8" s="2">
        <f t="shared" si="18"/>
        <v>-1</v>
      </c>
      <c r="AF8" s="13">
        <f t="shared" si="19"/>
        <v>1</v>
      </c>
      <c r="AG8" s="16">
        <v>3</v>
      </c>
      <c r="AH8" s="2">
        <f t="shared" si="20"/>
        <v>-1</v>
      </c>
      <c r="AI8" s="13">
        <f t="shared" si="21"/>
        <v>0</v>
      </c>
      <c r="AJ8" s="16">
        <v>3</v>
      </c>
      <c r="AK8" s="2">
        <f t="shared" si="22"/>
        <v>-1</v>
      </c>
      <c r="AL8" s="13">
        <f t="shared" si="23"/>
        <v>-1</v>
      </c>
      <c r="AM8" s="16">
        <v>5</v>
      </c>
      <c r="AN8" s="2">
        <f t="shared" si="24"/>
        <v>1</v>
      </c>
      <c r="AO8" s="13">
        <f t="shared" si="25"/>
        <v>0</v>
      </c>
      <c r="AP8" s="16">
        <v>5</v>
      </c>
      <c r="AQ8" s="2">
        <f t="shared" si="26"/>
        <v>1</v>
      </c>
      <c r="AR8" s="13">
        <f t="shared" si="27"/>
        <v>1</v>
      </c>
      <c r="AS8" s="16">
        <v>3</v>
      </c>
      <c r="AT8" s="2">
        <f t="shared" si="28"/>
        <v>-1</v>
      </c>
      <c r="AU8" s="13">
        <f t="shared" si="35"/>
        <v>0</v>
      </c>
      <c r="AV8" s="16">
        <v>4</v>
      </c>
      <c r="AW8" s="2">
        <f t="shared" si="29"/>
        <v>0</v>
      </c>
      <c r="AX8" s="13">
        <f t="shared" si="30"/>
        <v>0</v>
      </c>
      <c r="AY8" s="16">
        <v>4</v>
      </c>
      <c r="AZ8" s="2">
        <f t="shared" si="31"/>
        <v>0</v>
      </c>
      <c r="BA8" s="13">
        <f t="shared" si="32"/>
        <v>0</v>
      </c>
      <c r="BB8" s="16">
        <v>5</v>
      </c>
      <c r="BC8" s="2">
        <f t="shared" si="33"/>
        <v>1</v>
      </c>
      <c r="BD8" s="13">
        <f t="shared" si="34"/>
        <v>1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3.8</v>
      </c>
      <c r="D13" s="3"/>
      <c r="E13" s="3"/>
      <c r="F13" s="3">
        <f>IF(COUNT(F4:F11)&gt;0,AVERAGE(F4:F11),"")</f>
        <v>3.8</v>
      </c>
      <c r="G13" s="3"/>
      <c r="H13" s="3"/>
      <c r="I13" s="3">
        <f>IF(COUNT(I4:I11)&gt;0,AVERAGE(I4:I11),"")</f>
        <v>3.8</v>
      </c>
      <c r="J13" s="3"/>
      <c r="K13" s="3"/>
      <c r="L13" s="3">
        <f>IF(COUNT(L4:L11)&gt;0,AVERAGE(L4:L11),"")</f>
        <v>4.2</v>
      </c>
      <c r="M13" s="3"/>
      <c r="N13" s="3"/>
      <c r="O13" s="3">
        <f>IF(COUNT(O4:O11)&gt;0,AVERAGE(O4:O11),"")</f>
        <v>3.6</v>
      </c>
      <c r="P13" s="3"/>
      <c r="Q13" s="3"/>
      <c r="R13" s="3">
        <f>IF(COUNT(R4:R11)&gt;0,AVERAGE(R4:R11),"")</f>
        <v>4.2</v>
      </c>
      <c r="S13" s="3"/>
      <c r="T13" s="3"/>
      <c r="U13" s="3">
        <f>IF(COUNT(U4:U11)&gt;0,AVERAGE(U4:U11),"")</f>
        <v>3.8</v>
      </c>
      <c r="V13" s="3"/>
      <c r="W13" s="3"/>
      <c r="X13" s="3">
        <f>IF(COUNT(X4:X11)&gt;0,AVERAGE(X4:X11),"")</f>
        <v>3.8</v>
      </c>
      <c r="Y13" s="3"/>
      <c r="Z13" s="3"/>
      <c r="AA13" s="3">
        <f>IF(COUNT(AA4:AA11)&gt;0,AVERAGE(AA4:AA11),"")</f>
        <v>3.6</v>
      </c>
      <c r="AB13" s="3"/>
      <c r="AC13" s="3"/>
      <c r="AD13" s="3">
        <f>IF(COUNT(AD4:AD11)&gt;0,AVERAGE(AD4:AD11),"")</f>
        <v>2.8</v>
      </c>
      <c r="AE13" s="3"/>
      <c r="AF13" s="3"/>
      <c r="AG13" s="3">
        <f>IF(COUNT(AG4:AG11)&gt;0,AVERAGE(AG4:AG11),"")</f>
        <v>3.4</v>
      </c>
      <c r="AH13" s="3"/>
      <c r="AI13" s="3"/>
      <c r="AJ13" s="3">
        <f>IF(COUNT(AJ4:AJ11)&gt;0,AVERAGE(AJ4:AJ11),"")</f>
        <v>3.4</v>
      </c>
      <c r="AK13" s="3"/>
      <c r="AL13" s="3"/>
      <c r="AM13" s="3">
        <f>IF(COUNT(AM4:AM11)&gt;0,AVERAGE(AM4:AM11),"")</f>
        <v>4.2</v>
      </c>
      <c r="AN13" s="18"/>
      <c r="AO13" s="18"/>
      <c r="AP13" s="3">
        <f>IF(COUNT(AP4:AP11)&gt;0,AVERAGE(AP4:AP11),"")</f>
        <v>3.8</v>
      </c>
      <c r="AQ13" s="18"/>
      <c r="AR13" s="18"/>
      <c r="AS13" s="3">
        <f>IF(COUNT(AS4:AS11)&gt;0,AVERAGE(AS4:AS11),"")</f>
        <v>4.6000199999999998</v>
      </c>
      <c r="AT13" s="18"/>
      <c r="AU13" s="18"/>
      <c r="AV13" s="3">
        <f>IF(COUNT(AV4:AV11)&gt;0,AVERAGE(AV4:AV11),"")</f>
        <v>3.4</v>
      </c>
      <c r="AW13" s="18"/>
      <c r="AX13" s="18"/>
      <c r="AY13" s="3">
        <f>IF(COUNT(AY4:AY11)&gt;0,AVERAGE(AY4:AY11),"")</f>
        <v>3.4</v>
      </c>
      <c r="AZ13" s="18"/>
      <c r="BA13" s="18"/>
      <c r="BB13" s="3">
        <f>IF(COUNT(BB4:BB11)&gt;0,AVERAGE(BB4:BB11),"")</f>
        <v>3.2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16F7-3DCB-4392-A2A2-D5B9A4B758D1}">
  <dimension ref="A1:BR60"/>
  <sheetViews>
    <sheetView zoomScale="96" zoomScaleNormal="96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45219</v>
      </c>
      <c r="D1" s="53"/>
      <c r="E1" s="54"/>
      <c r="F1" s="52">
        <f>C1+1</f>
        <v>45220</v>
      </c>
      <c r="G1" s="53"/>
      <c r="H1" s="54"/>
      <c r="I1" s="52">
        <f>F1+1</f>
        <v>45221</v>
      </c>
      <c r="J1" s="53"/>
      <c r="K1" s="54"/>
      <c r="L1" s="52">
        <f>I1+1</f>
        <v>45222</v>
      </c>
      <c r="M1" s="53"/>
      <c r="N1" s="54"/>
      <c r="O1" s="52">
        <f>L1+1</f>
        <v>45223</v>
      </c>
      <c r="P1" s="53"/>
      <c r="Q1" s="54"/>
      <c r="R1" s="52">
        <f>O1+1</f>
        <v>45224</v>
      </c>
      <c r="S1" s="53"/>
      <c r="T1" s="54"/>
      <c r="U1" s="52">
        <f>R1+1</f>
        <v>45225</v>
      </c>
      <c r="V1" s="53"/>
      <c r="W1" s="54"/>
      <c r="X1" s="52">
        <f>U1+1</f>
        <v>45226</v>
      </c>
      <c r="Y1" s="53"/>
      <c r="Z1" s="54"/>
      <c r="AA1" s="52">
        <f>X1+1</f>
        <v>45227</v>
      </c>
      <c r="AB1" s="53"/>
      <c r="AC1" s="54"/>
      <c r="AD1" s="52">
        <f>AA1+1</f>
        <v>45228</v>
      </c>
      <c r="AE1" s="53"/>
      <c r="AF1" s="54"/>
      <c r="AG1" s="52">
        <f>AD1+1</f>
        <v>45229</v>
      </c>
      <c r="AH1" s="53"/>
      <c r="AI1" s="54"/>
      <c r="AJ1" s="52">
        <f>AG1+1</f>
        <v>45230</v>
      </c>
      <c r="AK1" s="53"/>
      <c r="AL1" s="54"/>
      <c r="AM1" s="52">
        <f>AJ1+1</f>
        <v>45231</v>
      </c>
      <c r="AN1" s="53"/>
      <c r="AO1" s="54"/>
      <c r="AP1" s="52">
        <f>AM1+1</f>
        <v>45232</v>
      </c>
      <c r="AQ1" s="53"/>
      <c r="AR1" s="54"/>
      <c r="AS1" s="52">
        <f>AP1+1</f>
        <v>45233</v>
      </c>
      <c r="AT1" s="53"/>
      <c r="AU1" s="54"/>
      <c r="AV1" s="52">
        <f>AS1+1</f>
        <v>45234</v>
      </c>
      <c r="AW1" s="53"/>
      <c r="AX1" s="54"/>
      <c r="AY1" s="52">
        <f>AV1+1</f>
        <v>45235</v>
      </c>
      <c r="AZ1" s="53"/>
      <c r="BA1" s="54"/>
      <c r="BB1" s="52">
        <f>AY1+1</f>
        <v>45236</v>
      </c>
      <c r="BC1" s="53"/>
      <c r="BD1" s="54"/>
    </row>
    <row r="2" spans="1:70" x14ac:dyDescent="0.25">
      <c r="B2" s="9" t="s">
        <v>1</v>
      </c>
      <c r="C2" s="49">
        <v>853</v>
      </c>
      <c r="D2" s="50"/>
      <c r="E2" s="51"/>
      <c r="F2" s="49">
        <f>C2+1</f>
        <v>854</v>
      </c>
      <c r="G2" s="50"/>
      <c r="H2" s="51"/>
      <c r="I2" s="49">
        <f>F2+1</f>
        <v>855</v>
      </c>
      <c r="J2" s="50"/>
      <c r="K2" s="51"/>
      <c r="L2" s="49">
        <f>I2+1</f>
        <v>856</v>
      </c>
      <c r="M2" s="50"/>
      <c r="N2" s="51"/>
      <c r="O2" s="49">
        <f>L2+1</f>
        <v>857</v>
      </c>
      <c r="P2" s="50"/>
      <c r="Q2" s="51"/>
      <c r="R2" s="49">
        <f>O2+1</f>
        <v>858</v>
      </c>
      <c r="S2" s="50"/>
      <c r="T2" s="51"/>
      <c r="U2" s="49">
        <f>R2+1</f>
        <v>859</v>
      </c>
      <c r="V2" s="50"/>
      <c r="W2" s="51"/>
      <c r="X2" s="49">
        <f>U2+1</f>
        <v>860</v>
      </c>
      <c r="Y2" s="50"/>
      <c r="Z2" s="51"/>
      <c r="AA2" s="49">
        <f>X2+1</f>
        <v>861</v>
      </c>
      <c r="AB2" s="50"/>
      <c r="AC2" s="51"/>
      <c r="AD2" s="49">
        <f>AA2+1</f>
        <v>862</v>
      </c>
      <c r="AE2" s="50"/>
      <c r="AF2" s="51"/>
      <c r="AG2" s="49">
        <f>AD2+1</f>
        <v>863</v>
      </c>
      <c r="AH2" s="50"/>
      <c r="AI2" s="51"/>
      <c r="AJ2" s="49">
        <f>AG2+1</f>
        <v>864</v>
      </c>
      <c r="AK2" s="50"/>
      <c r="AL2" s="51"/>
      <c r="AM2" s="49">
        <f>AJ2+1</f>
        <v>865</v>
      </c>
      <c r="AN2" s="50"/>
      <c r="AO2" s="51"/>
      <c r="AP2" s="49">
        <f>AM2+1</f>
        <v>866</v>
      </c>
      <c r="AQ2" s="50"/>
      <c r="AR2" s="51"/>
      <c r="AS2" s="49">
        <f>AP2+1</f>
        <v>867</v>
      </c>
      <c r="AT2" s="50"/>
      <c r="AU2" s="51"/>
      <c r="AV2" s="49">
        <f>AS2+1</f>
        <v>868</v>
      </c>
      <c r="AW2" s="50"/>
      <c r="AX2" s="51"/>
      <c r="AY2" s="49">
        <f>AV2+1</f>
        <v>869</v>
      </c>
      <c r="AZ2" s="50"/>
      <c r="BA2" s="51"/>
      <c r="BB2" s="49">
        <f>AY2+1</f>
        <v>870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5</v>
      </c>
      <c r="D4" s="18">
        <f>IF(C4&lt;&gt;"",C4-$B$1,"")</f>
        <v>1</v>
      </c>
      <c r="E4" s="24">
        <f>D4</f>
        <v>1</v>
      </c>
      <c r="F4" s="38">
        <v>4</v>
      </c>
      <c r="G4" s="18">
        <f>IF(F4&lt;&gt;"",F4-$B$1,"")</f>
        <v>0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3</v>
      </c>
      <c r="M4" s="18">
        <f>IF(L4&lt;&gt;"",L4-$B$1,"")</f>
        <v>-1</v>
      </c>
      <c r="N4" s="13">
        <f>IF(L4&lt;&gt;"",K4+M4,"")</f>
        <v>-1</v>
      </c>
      <c r="O4" s="38">
        <v>4</v>
      </c>
      <c r="P4" s="18">
        <f>IF(O4&lt;&gt;"",O4-$B$1,"")</f>
        <v>0</v>
      </c>
      <c r="Q4" s="13">
        <f>IF(O4&lt;&gt;"",N4+P4,"")</f>
        <v>-1</v>
      </c>
      <c r="R4" s="38">
        <v>5</v>
      </c>
      <c r="S4" s="18">
        <f>IF(R4&lt;&gt;"",R4-$B$1,"")</f>
        <v>1</v>
      </c>
      <c r="T4" s="13">
        <f>IF(R4&lt;&gt;"",Q4+S4,"")</f>
        <v>0</v>
      </c>
      <c r="U4" s="38">
        <v>4</v>
      </c>
      <c r="V4" s="18">
        <f>IF(U4&lt;&gt;"",U4-$B$1,"")</f>
        <v>0</v>
      </c>
      <c r="W4" s="13">
        <f>IF(U4&lt;&gt;"",T4+V4,"")</f>
        <v>0</v>
      </c>
      <c r="X4" s="38">
        <v>4</v>
      </c>
      <c r="Y4" s="18">
        <f>IF(X4&lt;&gt;"",X4-$B$1,"")</f>
        <v>0</v>
      </c>
      <c r="Z4" s="13">
        <f>IF(X4&lt;&gt;"",W4+Y4,"")</f>
        <v>0</v>
      </c>
      <c r="AA4" s="38">
        <v>4</v>
      </c>
      <c r="AB4" s="18">
        <f>IF(AA4&lt;&gt;"",AA4-$B$1,"")</f>
        <v>0</v>
      </c>
      <c r="AC4" s="13">
        <f>IF(AA4&lt;&gt;"",Z4+AB4,"")</f>
        <v>0</v>
      </c>
      <c r="AD4" s="38">
        <v>4</v>
      </c>
      <c r="AE4" s="18">
        <f>IF(AD4&lt;&gt;"",AD4-$B$1,"")</f>
        <v>0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38">
        <v>5</v>
      </c>
      <c r="AK4" s="18">
        <f>IF(AJ4&lt;&gt;"",AJ4-$B$1,"")</f>
        <v>1</v>
      </c>
      <c r="AL4" s="13">
        <f>IF(AJ4&lt;&gt;"",AI4+AK4,"")</f>
        <v>2</v>
      </c>
      <c r="AM4" s="38">
        <v>3</v>
      </c>
      <c r="AN4" s="18">
        <f>IF(AM4&lt;&gt;"",AM4-$B$1,"")</f>
        <v>-1</v>
      </c>
      <c r="AO4" s="13">
        <f>IF(AM4&lt;&gt;"",AL4+AN4,"")</f>
        <v>1</v>
      </c>
      <c r="AP4" s="38">
        <v>4</v>
      </c>
      <c r="AQ4" s="18">
        <f>IF(AP4&lt;&gt;"",AP4-$B$1,"")</f>
        <v>0</v>
      </c>
      <c r="AR4" s="13">
        <f>IF(AP4&lt;&gt;"",AO4+AQ4,"")</f>
        <v>1</v>
      </c>
      <c r="AS4" s="38">
        <v>3</v>
      </c>
      <c r="AT4" s="18">
        <f>IF(AS4&lt;&gt;"",AS4-$B$1,"")</f>
        <v>-1</v>
      </c>
      <c r="AU4" s="13">
        <f>IF(AS4&lt;&gt;"",AR4+AT4,"")</f>
        <v>0</v>
      </c>
      <c r="AV4" s="38">
        <v>4</v>
      </c>
      <c r="AW4" s="18">
        <f>IF(AV4&lt;&gt;"",AV4-$B$1,"")</f>
        <v>0</v>
      </c>
      <c r="AX4" s="13">
        <f>IF(AV4&lt;&gt;"",AU4+AW4,"")</f>
        <v>0</v>
      </c>
      <c r="AY4" s="38">
        <v>4</v>
      </c>
      <c r="AZ4" s="18">
        <f>IF(AY4&lt;&gt;"",AY4-$B$1,"")</f>
        <v>0</v>
      </c>
      <c r="BA4" s="13">
        <f>IF(AY4&lt;&gt;"",AX4+AZ4,"")</f>
        <v>0</v>
      </c>
      <c r="BB4" s="38">
        <v>4</v>
      </c>
      <c r="BC4" s="18">
        <f>IF(BB4&lt;&gt;"",BB4-$B$1,"")</f>
        <v>0</v>
      </c>
      <c r="BD4" s="13">
        <f>IF(BB4&lt;&gt;"",BA4+BC4,"")</f>
        <v>0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5</v>
      </c>
      <c r="G5" s="2">
        <f t="shared" ref="G5:G9" si="2">IF(F5&lt;&gt;"",F5-$B$1,"")</f>
        <v>1</v>
      </c>
      <c r="H5" s="13">
        <f t="shared" ref="H5:H9" si="3">IF(F5&lt;&gt;"",E5+G5,"")</f>
        <v>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1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1</v>
      </c>
      <c r="O5" s="6">
        <v>7.0000999999999998</v>
      </c>
      <c r="P5" s="2">
        <f t="shared" ref="P5:P9" si="8">IF(O5&lt;&gt;"",O5-$B$1,"")</f>
        <v>3.0000999999999998</v>
      </c>
      <c r="Q5" s="13">
        <f t="shared" ref="Q5:Q9" si="9">IF(O5&lt;&gt;"",N5+P5,"")</f>
        <v>4.0000999999999998</v>
      </c>
      <c r="R5" s="16">
        <v>4</v>
      </c>
      <c r="S5" s="2">
        <f t="shared" ref="S5:S9" si="10">IF(R5&lt;&gt;"",R5-$B$1,"")</f>
        <v>0</v>
      </c>
      <c r="T5" s="13">
        <f t="shared" ref="T5:T9" si="11">IF(R5&lt;&gt;"",Q5+S5,"")</f>
        <v>4.0000999999999998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4.0000999999999998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4.0000999999999998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4.0000999999999998</v>
      </c>
      <c r="AD5" s="16">
        <v>5</v>
      </c>
      <c r="AE5" s="2">
        <f t="shared" ref="AE5:AE9" si="18">IF(AD5&lt;&gt;"",AD5-$B$1,"")</f>
        <v>1</v>
      </c>
      <c r="AF5" s="13">
        <f t="shared" ref="AF5:AF9" si="19">IF(AD5&lt;&gt;"",AC5+AE5,"")</f>
        <v>5.0000999999999998</v>
      </c>
      <c r="AG5" s="16">
        <v>6</v>
      </c>
      <c r="AH5" s="2">
        <f t="shared" ref="AH5:AH9" si="20">IF(AG5&lt;&gt;"",AG5-$B$1,"")</f>
        <v>2</v>
      </c>
      <c r="AI5" s="13">
        <f t="shared" ref="AI5:AI9" si="21">IF(AG5&lt;&gt;"",AF5+AH5,"")</f>
        <v>7.0000999999999998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6.0000999999999998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6.0000999999999998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6.0000999999999998</v>
      </c>
      <c r="AS5" s="6">
        <v>7.0000999999999998</v>
      </c>
      <c r="AT5" s="2">
        <f t="shared" ref="AT5:AT9" si="28">IF(AS5&lt;&gt;"",AS5-$B$1,"")</f>
        <v>3.0000999999999998</v>
      </c>
      <c r="AU5" s="13">
        <f>IF(AS5&lt;&gt;"",AR5+AT5,"")</f>
        <v>9.0001999999999995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9.0001999999999995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9.0001999999999995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8.0001999999999995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5</v>
      </c>
      <c r="G6" s="2">
        <f t="shared" si="2"/>
        <v>1</v>
      </c>
      <c r="H6" s="13">
        <f t="shared" si="3"/>
        <v>1</v>
      </c>
      <c r="I6" s="16">
        <v>2</v>
      </c>
      <c r="J6" s="2">
        <f t="shared" si="4"/>
        <v>-2</v>
      </c>
      <c r="K6" s="13">
        <f t="shared" si="5"/>
        <v>-1</v>
      </c>
      <c r="L6" s="16">
        <v>5</v>
      </c>
      <c r="M6" s="2">
        <f t="shared" si="6"/>
        <v>1</v>
      </c>
      <c r="N6" s="13">
        <f t="shared" si="7"/>
        <v>0</v>
      </c>
      <c r="O6" s="16">
        <v>3</v>
      </c>
      <c r="P6" s="2">
        <f t="shared" si="8"/>
        <v>-1</v>
      </c>
      <c r="Q6" s="13">
        <f t="shared" si="9"/>
        <v>-1</v>
      </c>
      <c r="R6" s="16">
        <v>3</v>
      </c>
      <c r="S6" s="2">
        <f t="shared" si="10"/>
        <v>-1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4</v>
      </c>
      <c r="Y6" s="2">
        <f t="shared" si="14"/>
        <v>0</v>
      </c>
      <c r="Z6" s="13">
        <f t="shared" si="15"/>
        <v>-3</v>
      </c>
      <c r="AA6" s="16">
        <v>4</v>
      </c>
      <c r="AB6" s="2">
        <f t="shared" si="16"/>
        <v>0</v>
      </c>
      <c r="AC6" s="13">
        <f t="shared" si="17"/>
        <v>-3</v>
      </c>
      <c r="AD6" s="16">
        <v>2</v>
      </c>
      <c r="AE6" s="2">
        <f t="shared" si="18"/>
        <v>-2</v>
      </c>
      <c r="AF6" s="13">
        <f t="shared" si="19"/>
        <v>-5</v>
      </c>
      <c r="AG6" s="16">
        <v>3</v>
      </c>
      <c r="AH6" s="2">
        <f t="shared" si="20"/>
        <v>-1</v>
      </c>
      <c r="AI6" s="13">
        <f t="shared" si="21"/>
        <v>-6</v>
      </c>
      <c r="AJ6" s="16">
        <v>6</v>
      </c>
      <c r="AK6" s="2">
        <f t="shared" si="22"/>
        <v>2</v>
      </c>
      <c r="AL6" s="13">
        <f t="shared" si="23"/>
        <v>-4</v>
      </c>
      <c r="AM6" s="16">
        <v>4</v>
      </c>
      <c r="AN6" s="2">
        <f t="shared" si="24"/>
        <v>0</v>
      </c>
      <c r="AO6" s="13">
        <f t="shared" si="25"/>
        <v>-4</v>
      </c>
      <c r="AP6" s="16">
        <v>4</v>
      </c>
      <c r="AQ6" s="2">
        <f t="shared" si="26"/>
        <v>0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9" si="35">IF(AS6&lt;&gt;"",AR6+AT6,"")</f>
        <v>-5</v>
      </c>
      <c r="AV6" s="16">
        <v>4</v>
      </c>
      <c r="AW6" s="2">
        <f t="shared" si="29"/>
        <v>0</v>
      </c>
      <c r="AX6" s="13">
        <f t="shared" si="30"/>
        <v>-5</v>
      </c>
      <c r="AY6" s="16">
        <v>5</v>
      </c>
      <c r="AZ6" s="2">
        <f t="shared" si="31"/>
        <v>1</v>
      </c>
      <c r="BA6" s="13">
        <f t="shared" si="32"/>
        <v>-4</v>
      </c>
      <c r="BB6" s="16">
        <v>4</v>
      </c>
      <c r="BC6" s="2">
        <f t="shared" si="33"/>
        <v>0</v>
      </c>
      <c r="BD6" s="13">
        <f t="shared" si="34"/>
        <v>-4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3</v>
      </c>
      <c r="G7" s="2">
        <f t="shared" si="2"/>
        <v>-1</v>
      </c>
      <c r="H7" s="13">
        <f t="shared" si="3"/>
        <v>-1</v>
      </c>
      <c r="I7" s="16">
        <v>4</v>
      </c>
      <c r="J7" s="2">
        <f t="shared" si="4"/>
        <v>0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4</v>
      </c>
      <c r="P7" s="2">
        <f t="shared" si="8"/>
        <v>0</v>
      </c>
      <c r="Q7" s="13">
        <f t="shared" si="9"/>
        <v>-1</v>
      </c>
      <c r="R7" s="16">
        <v>4</v>
      </c>
      <c r="S7" s="2">
        <f t="shared" si="10"/>
        <v>0</v>
      </c>
      <c r="T7" s="13">
        <f t="shared" si="11"/>
        <v>-1</v>
      </c>
      <c r="U7" s="16">
        <v>3</v>
      </c>
      <c r="V7" s="2">
        <f t="shared" si="12"/>
        <v>-1</v>
      </c>
      <c r="W7" s="13">
        <f t="shared" si="13"/>
        <v>-2</v>
      </c>
      <c r="X7" s="16">
        <v>4</v>
      </c>
      <c r="Y7" s="2">
        <f t="shared" si="14"/>
        <v>0</v>
      </c>
      <c r="Z7" s="13">
        <f t="shared" si="15"/>
        <v>-2</v>
      </c>
      <c r="AA7" s="16">
        <v>4</v>
      </c>
      <c r="AB7" s="2">
        <f t="shared" si="16"/>
        <v>0</v>
      </c>
      <c r="AC7" s="13">
        <f t="shared" si="17"/>
        <v>-2</v>
      </c>
      <c r="AD7" s="16">
        <v>3</v>
      </c>
      <c r="AE7" s="2">
        <f>IF(AD7&lt;&gt;"",AD7-$B$1,"")</f>
        <v>-1</v>
      </c>
      <c r="AF7" s="13">
        <f>IF(AD7&lt;&gt;"",AC7+AE7,"")</f>
        <v>-3</v>
      </c>
      <c r="AG7" s="16">
        <v>4</v>
      </c>
      <c r="AH7" s="2">
        <f t="shared" si="20"/>
        <v>0</v>
      </c>
      <c r="AI7" s="13">
        <f t="shared" si="21"/>
        <v>-3</v>
      </c>
      <c r="AJ7" s="16">
        <v>5</v>
      </c>
      <c r="AK7" s="2">
        <f t="shared" si="22"/>
        <v>1</v>
      </c>
      <c r="AL7" s="13">
        <f t="shared" si="23"/>
        <v>-2</v>
      </c>
      <c r="AM7" s="16">
        <v>3</v>
      </c>
      <c r="AN7" s="2">
        <f t="shared" si="24"/>
        <v>-1</v>
      </c>
      <c r="AO7" s="13">
        <f t="shared" si="25"/>
        <v>-3</v>
      </c>
      <c r="AP7" s="16">
        <v>5</v>
      </c>
      <c r="AQ7" s="2">
        <f t="shared" si="26"/>
        <v>1</v>
      </c>
      <c r="AR7" s="13">
        <f t="shared" si="27"/>
        <v>-2</v>
      </c>
      <c r="AS7" s="16">
        <v>4</v>
      </c>
      <c r="AT7" s="2">
        <f t="shared" si="28"/>
        <v>0</v>
      </c>
      <c r="AU7" s="13">
        <f>IF(AS7&lt;&gt;"",AR7+AT7,"")</f>
        <v>-2</v>
      </c>
      <c r="AV7" s="16">
        <v>5</v>
      </c>
      <c r="AW7" s="2">
        <f t="shared" si="29"/>
        <v>1</v>
      </c>
      <c r="AX7" s="13">
        <f t="shared" si="30"/>
        <v>-1</v>
      </c>
      <c r="AY7" s="16">
        <v>2</v>
      </c>
      <c r="AZ7" s="2">
        <f t="shared" si="31"/>
        <v>-2</v>
      </c>
      <c r="BA7" s="13">
        <f t="shared" si="32"/>
        <v>-3</v>
      </c>
      <c r="BB7" s="16">
        <v>2</v>
      </c>
      <c r="BC7" s="2">
        <f t="shared" si="33"/>
        <v>-2</v>
      </c>
      <c r="BD7" s="13">
        <f t="shared" si="34"/>
        <v>-5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8">
        <v>6.9999000000000002</v>
      </c>
      <c r="G8" s="2">
        <f t="shared" si="2"/>
        <v>2.9999000000000002</v>
      </c>
      <c r="H8" s="13">
        <f t="shared" si="3"/>
        <v>1.9999000000000002</v>
      </c>
      <c r="I8" s="16">
        <v>6</v>
      </c>
      <c r="J8" s="2">
        <f t="shared" si="4"/>
        <v>2</v>
      </c>
      <c r="K8" s="13">
        <f t="shared" si="5"/>
        <v>3.9999000000000002</v>
      </c>
      <c r="L8" s="8">
        <v>6.9999000000000002</v>
      </c>
      <c r="M8" s="2">
        <f t="shared" si="6"/>
        <v>2.9999000000000002</v>
      </c>
      <c r="N8" s="13">
        <f t="shared" si="7"/>
        <v>6.9998000000000005</v>
      </c>
      <c r="O8" s="16">
        <v>4</v>
      </c>
      <c r="P8" s="2">
        <f t="shared" si="8"/>
        <v>0</v>
      </c>
      <c r="Q8" s="13">
        <f t="shared" si="9"/>
        <v>6.9998000000000005</v>
      </c>
      <c r="R8" s="16">
        <v>4</v>
      </c>
      <c r="S8" s="2">
        <f t="shared" si="10"/>
        <v>0</v>
      </c>
      <c r="T8" s="13">
        <f t="shared" si="11"/>
        <v>6.9998000000000005</v>
      </c>
      <c r="U8" s="16">
        <v>3</v>
      </c>
      <c r="V8" s="2">
        <f t="shared" si="12"/>
        <v>-1</v>
      </c>
      <c r="W8" s="13">
        <f t="shared" si="13"/>
        <v>5.9998000000000005</v>
      </c>
      <c r="X8" s="16">
        <v>6</v>
      </c>
      <c r="Y8" s="2">
        <f t="shared" si="14"/>
        <v>2</v>
      </c>
      <c r="Z8" s="13">
        <f t="shared" si="15"/>
        <v>7.9998000000000005</v>
      </c>
      <c r="AA8" s="16">
        <v>5</v>
      </c>
      <c r="AB8" s="2">
        <f t="shared" si="16"/>
        <v>1</v>
      </c>
      <c r="AC8" s="13">
        <f t="shared" si="17"/>
        <v>8.9998000000000005</v>
      </c>
      <c r="AD8" s="16">
        <v>3</v>
      </c>
      <c r="AE8" s="2">
        <f t="shared" si="18"/>
        <v>-1</v>
      </c>
      <c r="AF8" s="13">
        <f t="shared" si="19"/>
        <v>7.9998000000000005</v>
      </c>
      <c r="AG8" s="16">
        <v>4</v>
      </c>
      <c r="AH8" s="2">
        <f t="shared" si="20"/>
        <v>0</v>
      </c>
      <c r="AI8" s="13">
        <f t="shared" si="21"/>
        <v>7.9998000000000005</v>
      </c>
      <c r="AJ8" s="16">
        <v>3</v>
      </c>
      <c r="AK8" s="2">
        <f t="shared" si="22"/>
        <v>-1</v>
      </c>
      <c r="AL8" s="13">
        <f t="shared" si="23"/>
        <v>6.9998000000000005</v>
      </c>
      <c r="AM8" s="8">
        <v>6.9999000000000002</v>
      </c>
      <c r="AN8" s="2">
        <f t="shared" si="24"/>
        <v>2.9999000000000002</v>
      </c>
      <c r="AO8" s="13">
        <f t="shared" si="25"/>
        <v>9.9997000000000007</v>
      </c>
      <c r="AP8" s="16">
        <v>3</v>
      </c>
      <c r="AQ8" s="2">
        <f t="shared" si="26"/>
        <v>-1</v>
      </c>
      <c r="AR8" s="13">
        <f t="shared" si="27"/>
        <v>8.9997000000000007</v>
      </c>
      <c r="AS8" s="16">
        <v>5</v>
      </c>
      <c r="AT8" s="2">
        <f t="shared" si="28"/>
        <v>1</v>
      </c>
      <c r="AU8" s="13">
        <f t="shared" si="35"/>
        <v>9.9997000000000007</v>
      </c>
      <c r="AV8" s="16">
        <v>5</v>
      </c>
      <c r="AW8" s="2">
        <f t="shared" si="29"/>
        <v>1</v>
      </c>
      <c r="AX8" s="13">
        <f t="shared" si="30"/>
        <v>10.999700000000001</v>
      </c>
      <c r="AY8" s="16">
        <v>4</v>
      </c>
      <c r="AZ8" s="2">
        <f t="shared" si="31"/>
        <v>0</v>
      </c>
      <c r="BA8" s="13">
        <f t="shared" si="32"/>
        <v>10.999700000000001</v>
      </c>
      <c r="BB8" s="16">
        <v>5</v>
      </c>
      <c r="BC8" s="2">
        <f t="shared" si="33"/>
        <v>1</v>
      </c>
      <c r="BD8" s="13">
        <f t="shared" si="34"/>
        <v>11.999700000000001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4</v>
      </c>
      <c r="G9" s="2">
        <f t="shared" si="2"/>
        <v>0</v>
      </c>
      <c r="H9" s="13">
        <f t="shared" si="3"/>
        <v>0</v>
      </c>
      <c r="I9" s="16">
        <v>3</v>
      </c>
      <c r="J9" s="2">
        <f t="shared" si="4"/>
        <v>-1</v>
      </c>
      <c r="K9" s="13">
        <f t="shared" si="5"/>
        <v>-1</v>
      </c>
      <c r="L9" s="16">
        <v>2</v>
      </c>
      <c r="M9" s="2">
        <f t="shared" si="6"/>
        <v>-2</v>
      </c>
      <c r="N9" s="13">
        <f t="shared" si="7"/>
        <v>-3</v>
      </c>
      <c r="O9" s="16">
        <v>4</v>
      </c>
      <c r="P9" s="2">
        <f t="shared" si="8"/>
        <v>0</v>
      </c>
      <c r="Q9" s="13">
        <f t="shared" si="9"/>
        <v>-3</v>
      </c>
      <c r="R9" s="16">
        <v>3</v>
      </c>
      <c r="S9" s="2">
        <f t="shared" si="10"/>
        <v>-1</v>
      </c>
      <c r="T9" s="13">
        <f t="shared" si="11"/>
        <v>-4</v>
      </c>
      <c r="U9" s="16">
        <v>3</v>
      </c>
      <c r="V9" s="2">
        <f t="shared" si="12"/>
        <v>-1</v>
      </c>
      <c r="W9" s="13">
        <f t="shared" si="13"/>
        <v>-5</v>
      </c>
      <c r="X9" s="16">
        <v>3</v>
      </c>
      <c r="Y9" s="2">
        <f t="shared" si="14"/>
        <v>-1</v>
      </c>
      <c r="Z9" s="13">
        <f t="shared" si="15"/>
        <v>-6</v>
      </c>
      <c r="AA9" s="16">
        <v>5</v>
      </c>
      <c r="AB9" s="2">
        <f t="shared" si="16"/>
        <v>1</v>
      </c>
      <c r="AC9" s="13">
        <f t="shared" si="17"/>
        <v>-5</v>
      </c>
      <c r="AD9" s="16">
        <v>4</v>
      </c>
      <c r="AE9" s="2">
        <f t="shared" si="18"/>
        <v>0</v>
      </c>
      <c r="AF9" s="13">
        <f t="shared" si="19"/>
        <v>-5</v>
      </c>
      <c r="AG9" s="16">
        <v>4</v>
      </c>
      <c r="AH9" s="2">
        <f t="shared" si="20"/>
        <v>0</v>
      </c>
      <c r="AI9" s="13">
        <f t="shared" si="21"/>
        <v>-5</v>
      </c>
      <c r="AJ9" s="16">
        <v>5</v>
      </c>
      <c r="AK9" s="2">
        <f t="shared" si="22"/>
        <v>1</v>
      </c>
      <c r="AL9" s="13">
        <f t="shared" si="23"/>
        <v>-4</v>
      </c>
      <c r="AM9" s="16">
        <v>3</v>
      </c>
      <c r="AN9" s="2">
        <f t="shared" si="24"/>
        <v>-1</v>
      </c>
      <c r="AO9" s="13">
        <f t="shared" si="25"/>
        <v>-5</v>
      </c>
      <c r="AP9" s="16">
        <v>3</v>
      </c>
      <c r="AQ9" s="2">
        <f t="shared" si="26"/>
        <v>-1</v>
      </c>
      <c r="AR9" s="13">
        <f t="shared" si="27"/>
        <v>-6</v>
      </c>
      <c r="AS9" s="16">
        <v>2</v>
      </c>
      <c r="AT9" s="2">
        <f t="shared" si="28"/>
        <v>-2</v>
      </c>
      <c r="AU9" s="13">
        <f t="shared" si="35"/>
        <v>-8</v>
      </c>
      <c r="AV9" s="16">
        <v>3</v>
      </c>
      <c r="AW9" s="2">
        <f t="shared" si="29"/>
        <v>-1</v>
      </c>
      <c r="AX9" s="13">
        <f t="shared" si="30"/>
        <v>-9</v>
      </c>
      <c r="AY9" s="16">
        <v>4</v>
      </c>
      <c r="AZ9" s="2">
        <f t="shared" si="31"/>
        <v>0</v>
      </c>
      <c r="BA9" s="13">
        <f t="shared" si="32"/>
        <v>-9</v>
      </c>
      <c r="BB9" s="16">
        <v>4</v>
      </c>
      <c r="BC9" s="2">
        <f t="shared" si="33"/>
        <v>0</v>
      </c>
      <c r="BD9" s="13">
        <f t="shared" si="34"/>
        <v>-9</v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4.6666499999999997</v>
      </c>
      <c r="G13" s="3"/>
      <c r="H13" s="3"/>
      <c r="I13" s="3">
        <f>IF(COUNT(I4:I11)&gt;0,AVERAGE(I4:I11),"")</f>
        <v>3.5</v>
      </c>
      <c r="J13" s="3"/>
      <c r="K13" s="3"/>
      <c r="L13" s="3">
        <f>IF(COUNT(L4:L11)&gt;0,AVERAGE(L4:L11),"")</f>
        <v>4.1666499999999997</v>
      </c>
      <c r="M13" s="3"/>
      <c r="N13" s="3"/>
      <c r="O13" s="3">
        <f>IF(COUNT(O4:O11)&gt;0,AVERAGE(O4:O11),"")</f>
        <v>4.3333500000000003</v>
      </c>
      <c r="P13" s="3"/>
      <c r="Q13" s="3"/>
      <c r="R13" s="3">
        <f>IF(COUNT(R4:R11)&gt;0,AVERAGE(R4:R11),"")</f>
        <v>3.8333333333333335</v>
      </c>
      <c r="S13" s="3"/>
      <c r="T13" s="3"/>
      <c r="U13" s="3">
        <f>IF(COUNT(U4:U11)&gt;0,AVERAGE(U4:U11),"")</f>
        <v>3.3333333333333335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4.333333333333333</v>
      </c>
      <c r="AB13" s="3"/>
      <c r="AC13" s="3"/>
      <c r="AD13" s="3">
        <f>IF(COUNT(AD4:AD11)&gt;0,AVERAGE(AD4:AD11),"")</f>
        <v>3.5</v>
      </c>
      <c r="AE13" s="3"/>
      <c r="AF13" s="3"/>
      <c r="AG13" s="3">
        <f>IF(COUNT(AG4:AG11)&gt;0,AVERAGE(AG4:AG11),"")</f>
        <v>4.333333333333333</v>
      </c>
      <c r="AH13" s="3"/>
      <c r="AI13" s="3"/>
      <c r="AJ13" s="3">
        <f>IF(COUNT(AJ4:AJ11)&gt;0,AVERAGE(AJ4:AJ11),"")</f>
        <v>4.5</v>
      </c>
      <c r="AK13" s="3"/>
      <c r="AL13" s="3"/>
      <c r="AM13" s="3">
        <f>IF(COUNT(AM4:AM11)&gt;0,AVERAGE(AM4:AM11),"")</f>
        <v>3.9999833333333332</v>
      </c>
      <c r="AN13" s="18"/>
      <c r="AO13" s="18"/>
      <c r="AP13" s="3">
        <f>IF(COUNT(AP4:AP11)&gt;0,AVERAGE(AP4:AP11),"")</f>
        <v>3.8333333333333335</v>
      </c>
      <c r="AQ13" s="18"/>
      <c r="AR13" s="18"/>
      <c r="AS13" s="3">
        <f>IF(COUNT(AS4:AS11)&gt;0,AVERAGE(AS4:AS11),"")</f>
        <v>4.0000166666666663</v>
      </c>
      <c r="AT13" s="18"/>
      <c r="AU13" s="18"/>
      <c r="AV13" s="3">
        <f>IF(COUNT(AV4:AV11)&gt;0,AVERAGE(AV4:AV11),"")</f>
        <v>4.166666666666667</v>
      </c>
      <c r="AW13" s="18"/>
      <c r="AX13" s="18"/>
      <c r="AY13" s="3">
        <f>IF(COUNT(AY4:AY11)&gt;0,AVERAGE(AY4:AY11),"")</f>
        <v>3.8333333333333335</v>
      </c>
      <c r="AZ13" s="18"/>
      <c r="BA13" s="18"/>
      <c r="BB13" s="3">
        <f>IF(COUNT(BB4:BB11)&gt;0,AVERAGE(BB4:BB11),"")</f>
        <v>3.6666666666666665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8600-8415-4401-818B-140C0C801D0B}">
  <dimension ref="A1:BR60"/>
  <sheetViews>
    <sheetView zoomScale="96" zoomScaleNormal="96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45198</v>
      </c>
      <c r="D1" s="53"/>
      <c r="E1" s="54"/>
      <c r="F1" s="52">
        <f>C1+1</f>
        <v>45199</v>
      </c>
      <c r="G1" s="53"/>
      <c r="H1" s="54"/>
      <c r="I1" s="52">
        <f>F1+1</f>
        <v>45200</v>
      </c>
      <c r="J1" s="53"/>
      <c r="K1" s="54"/>
      <c r="L1" s="52">
        <f>I1+1</f>
        <v>45201</v>
      </c>
      <c r="M1" s="53"/>
      <c r="N1" s="54"/>
      <c r="O1" s="52">
        <f>L1+1</f>
        <v>45202</v>
      </c>
      <c r="P1" s="53"/>
      <c r="Q1" s="54"/>
      <c r="R1" s="52">
        <f>O1+1</f>
        <v>45203</v>
      </c>
      <c r="S1" s="53"/>
      <c r="T1" s="54"/>
      <c r="U1" s="52">
        <f>R1+1</f>
        <v>45204</v>
      </c>
      <c r="V1" s="53"/>
      <c r="W1" s="54"/>
      <c r="X1" s="52">
        <f>U1+1</f>
        <v>45205</v>
      </c>
      <c r="Y1" s="53"/>
      <c r="Z1" s="54"/>
      <c r="AA1" s="52">
        <f>X1+1</f>
        <v>45206</v>
      </c>
      <c r="AB1" s="53"/>
      <c r="AC1" s="54"/>
      <c r="AD1" s="52">
        <f>AA1+1</f>
        <v>45207</v>
      </c>
      <c r="AE1" s="53"/>
      <c r="AF1" s="54"/>
      <c r="AG1" s="52">
        <f>AD1+1</f>
        <v>45208</v>
      </c>
      <c r="AH1" s="53"/>
      <c r="AI1" s="54"/>
      <c r="AJ1" s="52">
        <f>AG1+1</f>
        <v>45209</v>
      </c>
      <c r="AK1" s="53"/>
      <c r="AL1" s="54"/>
      <c r="AM1" s="52">
        <f>AJ1+1</f>
        <v>45210</v>
      </c>
      <c r="AN1" s="53"/>
      <c r="AO1" s="54"/>
      <c r="AP1" s="52">
        <f>AM1+1</f>
        <v>45211</v>
      </c>
      <c r="AQ1" s="53"/>
      <c r="AR1" s="54"/>
      <c r="AS1" s="52">
        <f>AP1+1</f>
        <v>45212</v>
      </c>
      <c r="AT1" s="53"/>
      <c r="AU1" s="54"/>
      <c r="AV1" s="52">
        <f>AS1+1</f>
        <v>45213</v>
      </c>
      <c r="AW1" s="53"/>
      <c r="AX1" s="54"/>
      <c r="AY1" s="52">
        <f>AV1+1</f>
        <v>45214</v>
      </c>
      <c r="AZ1" s="53"/>
      <c r="BA1" s="54"/>
      <c r="BB1" s="52">
        <f>AY1+1</f>
        <v>45215</v>
      </c>
      <c r="BC1" s="53"/>
      <c r="BD1" s="54"/>
    </row>
    <row r="2" spans="1:70" x14ac:dyDescent="0.25">
      <c r="B2" s="9" t="s">
        <v>1</v>
      </c>
      <c r="C2" s="49">
        <v>832</v>
      </c>
      <c r="D2" s="50"/>
      <c r="E2" s="51"/>
      <c r="F2" s="49">
        <f>C2+1</f>
        <v>833</v>
      </c>
      <c r="G2" s="50"/>
      <c r="H2" s="51"/>
      <c r="I2" s="49">
        <f>F2+1</f>
        <v>834</v>
      </c>
      <c r="J2" s="50"/>
      <c r="K2" s="51"/>
      <c r="L2" s="49">
        <f>I2+1</f>
        <v>835</v>
      </c>
      <c r="M2" s="50"/>
      <c r="N2" s="51"/>
      <c r="O2" s="49">
        <f>L2+1</f>
        <v>836</v>
      </c>
      <c r="P2" s="50"/>
      <c r="Q2" s="51"/>
      <c r="R2" s="49">
        <f>O2+1</f>
        <v>837</v>
      </c>
      <c r="S2" s="50"/>
      <c r="T2" s="51"/>
      <c r="U2" s="49">
        <f>R2+1</f>
        <v>838</v>
      </c>
      <c r="V2" s="50"/>
      <c r="W2" s="51"/>
      <c r="X2" s="49">
        <f>U2+1</f>
        <v>839</v>
      </c>
      <c r="Y2" s="50"/>
      <c r="Z2" s="51"/>
      <c r="AA2" s="49">
        <f>X2+1</f>
        <v>840</v>
      </c>
      <c r="AB2" s="50"/>
      <c r="AC2" s="51"/>
      <c r="AD2" s="49">
        <f>AA2+1</f>
        <v>841</v>
      </c>
      <c r="AE2" s="50"/>
      <c r="AF2" s="51"/>
      <c r="AG2" s="49">
        <f>AD2+1</f>
        <v>842</v>
      </c>
      <c r="AH2" s="50"/>
      <c r="AI2" s="51"/>
      <c r="AJ2" s="49">
        <f>AG2+1</f>
        <v>843</v>
      </c>
      <c r="AK2" s="50"/>
      <c r="AL2" s="51"/>
      <c r="AM2" s="49">
        <f>AJ2+1</f>
        <v>844</v>
      </c>
      <c r="AN2" s="50"/>
      <c r="AO2" s="51"/>
      <c r="AP2" s="49">
        <f>AM2+1</f>
        <v>845</v>
      </c>
      <c r="AQ2" s="50"/>
      <c r="AR2" s="51"/>
      <c r="AS2" s="49">
        <f>AP2+1</f>
        <v>846</v>
      </c>
      <c r="AT2" s="50"/>
      <c r="AU2" s="51"/>
      <c r="AV2" s="49">
        <f>AS2+1</f>
        <v>847</v>
      </c>
      <c r="AW2" s="50"/>
      <c r="AX2" s="51"/>
      <c r="AY2" s="49">
        <f>AV2+1</f>
        <v>848</v>
      </c>
      <c r="AZ2" s="50"/>
      <c r="BA2" s="51"/>
      <c r="BB2" s="49">
        <f>AY2+1</f>
        <v>849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2</v>
      </c>
      <c r="D4" s="18">
        <f>IF(C4&lt;&gt;"",C4-$B$1,"")</f>
        <v>-2</v>
      </c>
      <c r="E4" s="24">
        <f>D4</f>
        <v>-2</v>
      </c>
      <c r="F4" s="38">
        <v>3</v>
      </c>
      <c r="G4" s="18">
        <f>IF(F4&lt;&gt;"",F4-$B$1,"")</f>
        <v>-1</v>
      </c>
      <c r="H4" s="13">
        <f>IF(F4&lt;&gt;"",E4+G4,"")</f>
        <v>-3</v>
      </c>
      <c r="I4" s="38">
        <v>3</v>
      </c>
      <c r="J4" s="18">
        <f>IF(I4&lt;&gt;"",I4-$B$1,"")</f>
        <v>-1</v>
      </c>
      <c r="K4" s="13">
        <f>IF(I4&lt;&gt;"",H4+J4,"")</f>
        <v>-4</v>
      </c>
      <c r="L4" s="38">
        <v>5</v>
      </c>
      <c r="M4" s="18">
        <f>IF(L4&lt;&gt;"",L4-$B$1,"")</f>
        <v>1</v>
      </c>
      <c r="N4" s="13">
        <f>IF(L4&lt;&gt;"",K4+M4,"")</f>
        <v>-3</v>
      </c>
      <c r="O4" s="38">
        <v>5</v>
      </c>
      <c r="P4" s="18">
        <f>IF(O4&lt;&gt;"",O4-$B$1,"")</f>
        <v>1</v>
      </c>
      <c r="Q4" s="13">
        <f>IF(O4&lt;&gt;"",N4+P4,"")</f>
        <v>-2</v>
      </c>
      <c r="R4" s="38">
        <v>3</v>
      </c>
      <c r="S4" s="18">
        <f>IF(R4&lt;&gt;"",R4-$B$1,"")</f>
        <v>-1</v>
      </c>
      <c r="T4" s="13">
        <f>IF(R4&lt;&gt;"",Q4+S4,"")</f>
        <v>-3</v>
      </c>
      <c r="U4" s="38">
        <v>4</v>
      </c>
      <c r="V4" s="18">
        <f>IF(U4&lt;&gt;"",U4-$B$1,"")</f>
        <v>0</v>
      </c>
      <c r="W4" s="13">
        <f>IF(U4&lt;&gt;"",T4+V4,"")</f>
        <v>-3</v>
      </c>
      <c r="X4" s="38">
        <v>4</v>
      </c>
      <c r="Y4" s="18">
        <f>IF(X4&lt;&gt;"",X4-$B$1,"")</f>
        <v>0</v>
      </c>
      <c r="Z4" s="13">
        <f>IF(X4&lt;&gt;"",W4+Y4,"")</f>
        <v>-3</v>
      </c>
      <c r="AA4" s="38">
        <v>3</v>
      </c>
      <c r="AB4" s="18">
        <f>IF(AA4&lt;&gt;"",AA4-$B$1,"")</f>
        <v>-1</v>
      </c>
      <c r="AC4" s="13">
        <f>IF(AA4&lt;&gt;"",Z4+AB4,"")</f>
        <v>-4</v>
      </c>
      <c r="AD4" s="38">
        <v>5</v>
      </c>
      <c r="AE4" s="18">
        <f>IF(AD4&lt;&gt;"",AD4-$B$1,"")</f>
        <v>1</v>
      </c>
      <c r="AF4" s="13">
        <f>IF(AD4&lt;&gt;"",AC4+AE4,"")</f>
        <v>-3</v>
      </c>
      <c r="AG4" s="38">
        <v>5</v>
      </c>
      <c r="AH4" s="18">
        <f>IF(AG4&lt;&gt;"",AG4-$B$1,"")</f>
        <v>1</v>
      </c>
      <c r="AI4" s="13">
        <f>IF(AG4&lt;&gt;"",AF4+AH4,"")</f>
        <v>-2</v>
      </c>
      <c r="AJ4" s="38">
        <v>4</v>
      </c>
      <c r="AK4" s="18">
        <f>IF(AJ4&lt;&gt;"",AJ4-$B$1,"")</f>
        <v>0</v>
      </c>
      <c r="AL4" s="13">
        <f>IF(AJ4&lt;&gt;"",AI4+AK4,"")</f>
        <v>-2</v>
      </c>
      <c r="AM4" s="38">
        <v>5</v>
      </c>
      <c r="AN4" s="18">
        <f>IF(AM4&lt;&gt;"",AM4-$B$1,"")</f>
        <v>1</v>
      </c>
      <c r="AO4" s="13">
        <f>IF(AM4&lt;&gt;"",AL4+AN4,"")</f>
        <v>-1</v>
      </c>
      <c r="AP4" s="38">
        <v>5</v>
      </c>
      <c r="AQ4" s="18">
        <f>IF(AP4&lt;&gt;"",AP4-$B$1,"")</f>
        <v>1</v>
      </c>
      <c r="AR4" s="13">
        <f>IF(AP4&lt;&gt;"",AO4+AQ4,"")</f>
        <v>0</v>
      </c>
      <c r="AS4" s="38">
        <v>4</v>
      </c>
      <c r="AT4" s="18">
        <f>IF(AS4&lt;&gt;"",AS4-$B$1,"")</f>
        <v>0</v>
      </c>
      <c r="AU4" s="13">
        <f>IF(AS4&lt;&gt;"",AR4+AT4,"")</f>
        <v>0</v>
      </c>
      <c r="AV4" s="38">
        <v>3</v>
      </c>
      <c r="AW4" s="18">
        <f>IF(AV4&lt;&gt;"",AV4-$B$1,"")</f>
        <v>-1</v>
      </c>
      <c r="AX4" s="13">
        <f>IF(AV4&lt;&gt;"",AU4+AW4,"")</f>
        <v>-1</v>
      </c>
      <c r="AY4" s="38">
        <v>4</v>
      </c>
      <c r="AZ4" s="18">
        <f>IF(AY4&lt;&gt;"",AY4-$B$1,"")</f>
        <v>0</v>
      </c>
      <c r="BA4" s="13">
        <f>IF(AY4&lt;&gt;"",AX4+AZ4,"")</f>
        <v>-1</v>
      </c>
      <c r="BB4" s="38">
        <v>5</v>
      </c>
      <c r="BC4" s="18">
        <f>IF(BB4&lt;&gt;"",BB4-$B$1,"")</f>
        <v>1</v>
      </c>
      <c r="BD4" s="13">
        <f>IF(BB4&lt;&gt;"",BA4+BC4,"")</f>
        <v>0</v>
      </c>
      <c r="BF4" t="s">
        <v>7</v>
      </c>
      <c r="BG4" t="s">
        <v>8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5</v>
      </c>
      <c r="G5" s="2">
        <f t="shared" ref="G5:G9" si="2">IF(F5&lt;&gt;"",F5-$B$1,"")</f>
        <v>1</v>
      </c>
      <c r="H5" s="13">
        <f t="shared" ref="H5:H9" si="3">IF(F5&lt;&gt;"",E5+G5,"")</f>
        <v>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1</v>
      </c>
      <c r="L5" s="16">
        <v>6</v>
      </c>
      <c r="M5" s="2">
        <f t="shared" ref="M5:M9" si="6">IF(L5&lt;&gt;"",L5-$B$1,"")</f>
        <v>2</v>
      </c>
      <c r="N5" s="13">
        <f t="shared" ref="N5:N9" si="7">IF(L5&lt;&gt;"",K5+M5,"")</f>
        <v>3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3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2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3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2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3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2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2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1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1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1</v>
      </c>
      <c r="AS5" s="16">
        <v>4</v>
      </c>
      <c r="AT5" s="2">
        <f t="shared" ref="AT5:AT9" si="28">IF(AS5&lt;&gt;"",AS5-$B$1,"")</f>
        <v>0</v>
      </c>
      <c r="AU5" s="13">
        <f>IF(AS5&lt;&gt;"",AR5+AT5,"")</f>
        <v>1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0</v>
      </c>
      <c r="AY5" s="16">
        <v>6</v>
      </c>
      <c r="AZ5" s="2">
        <f t="shared" ref="AZ5:AZ9" si="31">IF(AY5&lt;&gt;"",AY5-$B$1,"")</f>
        <v>2</v>
      </c>
      <c r="BA5" s="13">
        <f t="shared" ref="BA5:BA9" si="32">IF(AY5&lt;&gt;"",AX5+AZ5,"")</f>
        <v>2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1</v>
      </c>
      <c r="BF5" t="s">
        <v>9</v>
      </c>
      <c r="BG5" t="s">
        <v>10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5</v>
      </c>
      <c r="G6" s="2">
        <f t="shared" si="2"/>
        <v>1</v>
      </c>
      <c r="H6" s="13">
        <f t="shared" si="3"/>
        <v>1</v>
      </c>
      <c r="I6" s="16">
        <v>4</v>
      </c>
      <c r="J6" s="2">
        <f t="shared" si="4"/>
        <v>0</v>
      </c>
      <c r="K6" s="13">
        <f t="shared" si="5"/>
        <v>1</v>
      </c>
      <c r="L6" s="16">
        <v>5</v>
      </c>
      <c r="M6" s="2">
        <f t="shared" si="6"/>
        <v>1</v>
      </c>
      <c r="N6" s="13">
        <f t="shared" si="7"/>
        <v>2</v>
      </c>
      <c r="O6" s="16">
        <v>5</v>
      </c>
      <c r="P6" s="2">
        <f t="shared" si="8"/>
        <v>1</v>
      </c>
      <c r="Q6" s="13">
        <f t="shared" si="9"/>
        <v>3</v>
      </c>
      <c r="R6" s="16">
        <v>3</v>
      </c>
      <c r="S6" s="2">
        <f t="shared" si="10"/>
        <v>-1</v>
      </c>
      <c r="T6" s="13">
        <f t="shared" si="11"/>
        <v>2</v>
      </c>
      <c r="U6" s="16">
        <v>6</v>
      </c>
      <c r="V6" s="2">
        <f t="shared" si="12"/>
        <v>2</v>
      </c>
      <c r="W6" s="13">
        <f t="shared" si="13"/>
        <v>4</v>
      </c>
      <c r="X6" s="16">
        <v>3</v>
      </c>
      <c r="Y6" s="2">
        <f t="shared" si="14"/>
        <v>-1</v>
      </c>
      <c r="Z6" s="13">
        <f t="shared" si="15"/>
        <v>3</v>
      </c>
      <c r="AA6" s="16">
        <v>5</v>
      </c>
      <c r="AB6" s="2">
        <f t="shared" si="16"/>
        <v>1</v>
      </c>
      <c r="AC6" s="13">
        <f t="shared" si="17"/>
        <v>4</v>
      </c>
      <c r="AD6" s="16">
        <v>4</v>
      </c>
      <c r="AE6" s="2">
        <f t="shared" si="18"/>
        <v>0</v>
      </c>
      <c r="AF6" s="13">
        <f t="shared" si="19"/>
        <v>4</v>
      </c>
      <c r="AG6" s="16">
        <v>4</v>
      </c>
      <c r="AH6" s="2">
        <f t="shared" si="20"/>
        <v>0</v>
      </c>
      <c r="AI6" s="13">
        <f t="shared" si="21"/>
        <v>4</v>
      </c>
      <c r="AJ6" s="16">
        <v>4</v>
      </c>
      <c r="AK6" s="2">
        <f t="shared" si="22"/>
        <v>0</v>
      </c>
      <c r="AL6" s="13">
        <f t="shared" si="23"/>
        <v>4</v>
      </c>
      <c r="AM6" s="16">
        <v>4</v>
      </c>
      <c r="AN6" s="2">
        <f t="shared" si="24"/>
        <v>0</v>
      </c>
      <c r="AO6" s="13">
        <f t="shared" si="25"/>
        <v>4</v>
      </c>
      <c r="AP6" s="16">
        <v>5</v>
      </c>
      <c r="AQ6" s="2">
        <f t="shared" si="26"/>
        <v>1</v>
      </c>
      <c r="AR6" s="13">
        <f>IF(AP6&lt;&gt;"",AO6+AQ6,"")</f>
        <v>5</v>
      </c>
      <c r="AS6" s="16">
        <v>4</v>
      </c>
      <c r="AT6" s="2">
        <f t="shared" si="28"/>
        <v>0</v>
      </c>
      <c r="AU6" s="13">
        <f t="shared" ref="AU6:AU9" si="35">IF(AS6&lt;&gt;"",AR6+AT6,"")</f>
        <v>5</v>
      </c>
      <c r="AV6" s="16">
        <v>3</v>
      </c>
      <c r="AW6" s="2">
        <f t="shared" si="29"/>
        <v>-1</v>
      </c>
      <c r="AX6" s="13">
        <f t="shared" si="30"/>
        <v>4</v>
      </c>
      <c r="AY6" s="16">
        <v>5</v>
      </c>
      <c r="AZ6" s="2">
        <f t="shared" si="31"/>
        <v>1</v>
      </c>
      <c r="BA6" s="13">
        <f t="shared" si="32"/>
        <v>5</v>
      </c>
      <c r="BB6" s="16">
        <v>4</v>
      </c>
      <c r="BC6" s="2">
        <f t="shared" si="33"/>
        <v>0</v>
      </c>
      <c r="BD6" s="13">
        <f t="shared" si="34"/>
        <v>5</v>
      </c>
      <c r="BF6" t="s">
        <v>11</v>
      </c>
      <c r="BG6" t="s">
        <v>12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6</v>
      </c>
      <c r="G7" s="2">
        <f t="shared" si="2"/>
        <v>2</v>
      </c>
      <c r="H7" s="13">
        <f t="shared" si="3"/>
        <v>2</v>
      </c>
      <c r="I7" s="16">
        <v>4</v>
      </c>
      <c r="J7" s="2">
        <f t="shared" si="4"/>
        <v>0</v>
      </c>
      <c r="K7" s="13">
        <f t="shared" si="5"/>
        <v>2</v>
      </c>
      <c r="L7" s="6">
        <v>7.0000999999999998</v>
      </c>
      <c r="M7" s="2">
        <f>IF(L7&lt;&gt;"",L7-$B$1,"")</f>
        <v>3.0000999999999998</v>
      </c>
      <c r="N7" s="13">
        <f t="shared" si="7"/>
        <v>5.0000999999999998</v>
      </c>
      <c r="O7" s="16">
        <v>4</v>
      </c>
      <c r="P7" s="2">
        <f t="shared" si="8"/>
        <v>0</v>
      </c>
      <c r="Q7" s="13">
        <f t="shared" si="9"/>
        <v>5.0000999999999998</v>
      </c>
      <c r="R7" s="16">
        <v>5</v>
      </c>
      <c r="S7" s="2">
        <f t="shared" si="10"/>
        <v>1</v>
      </c>
      <c r="T7" s="13">
        <f t="shared" si="11"/>
        <v>6.0000999999999998</v>
      </c>
      <c r="U7" s="16">
        <v>5</v>
      </c>
      <c r="V7" s="2">
        <f t="shared" si="12"/>
        <v>1</v>
      </c>
      <c r="W7" s="13">
        <f t="shared" si="13"/>
        <v>7.0000999999999998</v>
      </c>
      <c r="X7" s="16">
        <v>4</v>
      </c>
      <c r="Y7" s="2">
        <f t="shared" si="14"/>
        <v>0</v>
      </c>
      <c r="Z7" s="13">
        <f t="shared" si="15"/>
        <v>7.0000999999999998</v>
      </c>
      <c r="AA7" s="16">
        <v>4</v>
      </c>
      <c r="AB7" s="2">
        <f t="shared" si="16"/>
        <v>0</v>
      </c>
      <c r="AC7" s="13">
        <f t="shared" si="17"/>
        <v>7.0000999999999998</v>
      </c>
      <c r="AD7" s="16">
        <v>5</v>
      </c>
      <c r="AE7" s="2">
        <f>IF(AD7&lt;&gt;"",AD7-$B$1,"")</f>
        <v>1</v>
      </c>
      <c r="AF7" s="13">
        <f>IF(AD7&lt;&gt;"",AC7+AE7,"")</f>
        <v>8.0000999999999998</v>
      </c>
      <c r="AG7" s="16">
        <v>3</v>
      </c>
      <c r="AH7" s="2">
        <f t="shared" si="20"/>
        <v>-1</v>
      </c>
      <c r="AI7" s="13">
        <f t="shared" si="21"/>
        <v>7.0000999999999998</v>
      </c>
      <c r="AJ7" s="16">
        <v>4</v>
      </c>
      <c r="AK7" s="2">
        <f t="shared" si="22"/>
        <v>0</v>
      </c>
      <c r="AL7" s="13">
        <f t="shared" si="23"/>
        <v>7.0000999999999998</v>
      </c>
      <c r="AM7" s="16">
        <v>4</v>
      </c>
      <c r="AN7" s="2">
        <f t="shared" si="24"/>
        <v>0</v>
      </c>
      <c r="AO7" s="13">
        <f t="shared" si="25"/>
        <v>7.0000999999999998</v>
      </c>
      <c r="AP7" s="16">
        <v>4</v>
      </c>
      <c r="AQ7" s="2">
        <f t="shared" si="26"/>
        <v>0</v>
      </c>
      <c r="AR7" s="13">
        <f t="shared" si="27"/>
        <v>7.0000999999999998</v>
      </c>
      <c r="AS7" s="16">
        <v>5</v>
      </c>
      <c r="AT7" s="2">
        <f t="shared" si="28"/>
        <v>1</v>
      </c>
      <c r="AU7" s="13">
        <f>IF(AS7&lt;&gt;"",AR7+AT7,"")</f>
        <v>8.0000999999999998</v>
      </c>
      <c r="AV7" s="16">
        <v>3</v>
      </c>
      <c r="AW7" s="2">
        <f t="shared" si="29"/>
        <v>-1</v>
      </c>
      <c r="AX7" s="13">
        <f t="shared" si="30"/>
        <v>7.0000999999999998</v>
      </c>
      <c r="AY7" s="16">
        <v>4</v>
      </c>
      <c r="AZ7" s="2">
        <f t="shared" si="31"/>
        <v>0</v>
      </c>
      <c r="BA7" s="13">
        <f t="shared" si="32"/>
        <v>7.0000999999999998</v>
      </c>
      <c r="BB7" s="16">
        <v>4</v>
      </c>
      <c r="BC7" s="2">
        <f t="shared" si="33"/>
        <v>0</v>
      </c>
      <c r="BD7" s="13">
        <f t="shared" si="34"/>
        <v>7.0000999999999998</v>
      </c>
      <c r="BF7" t="s">
        <v>19</v>
      </c>
      <c r="BG7" t="s">
        <v>20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5</v>
      </c>
      <c r="D8" s="2">
        <f t="shared" si="0"/>
        <v>1</v>
      </c>
      <c r="E8" s="13">
        <f t="shared" si="1"/>
        <v>1</v>
      </c>
      <c r="F8" s="16">
        <v>5</v>
      </c>
      <c r="G8" s="2">
        <f t="shared" si="2"/>
        <v>1</v>
      </c>
      <c r="H8" s="13">
        <f t="shared" si="3"/>
        <v>2</v>
      </c>
      <c r="I8" s="16">
        <v>4</v>
      </c>
      <c r="J8" s="2">
        <f t="shared" si="4"/>
        <v>0</v>
      </c>
      <c r="K8" s="13">
        <f t="shared" si="5"/>
        <v>2</v>
      </c>
      <c r="L8" s="16">
        <v>6</v>
      </c>
      <c r="M8" s="2">
        <f t="shared" si="6"/>
        <v>2</v>
      </c>
      <c r="N8" s="13">
        <f t="shared" si="7"/>
        <v>4</v>
      </c>
      <c r="O8" s="16">
        <v>2</v>
      </c>
      <c r="P8" s="2">
        <f t="shared" si="8"/>
        <v>-2</v>
      </c>
      <c r="Q8" s="13">
        <f t="shared" si="9"/>
        <v>2</v>
      </c>
      <c r="R8" s="16">
        <v>3</v>
      </c>
      <c r="S8" s="2">
        <f t="shared" si="10"/>
        <v>-1</v>
      </c>
      <c r="T8" s="13">
        <f t="shared" si="11"/>
        <v>1</v>
      </c>
      <c r="U8" s="16">
        <v>6</v>
      </c>
      <c r="V8" s="2">
        <f t="shared" si="12"/>
        <v>2</v>
      </c>
      <c r="W8" s="13">
        <f t="shared" si="13"/>
        <v>3</v>
      </c>
      <c r="X8" s="16">
        <v>3</v>
      </c>
      <c r="Y8" s="2">
        <f t="shared" si="14"/>
        <v>-1</v>
      </c>
      <c r="Z8" s="13">
        <f t="shared" si="15"/>
        <v>2</v>
      </c>
      <c r="AA8" s="16">
        <v>3</v>
      </c>
      <c r="AB8" s="2">
        <f t="shared" si="16"/>
        <v>-1</v>
      </c>
      <c r="AC8" s="13">
        <f t="shared" si="17"/>
        <v>1</v>
      </c>
      <c r="AD8" s="16">
        <v>3</v>
      </c>
      <c r="AE8" s="2">
        <f t="shared" si="18"/>
        <v>-1</v>
      </c>
      <c r="AF8" s="13">
        <f t="shared" si="19"/>
        <v>0</v>
      </c>
      <c r="AG8" s="16">
        <v>3</v>
      </c>
      <c r="AH8" s="2">
        <f t="shared" si="20"/>
        <v>-1</v>
      </c>
      <c r="AI8" s="13">
        <f t="shared" si="21"/>
        <v>-1</v>
      </c>
      <c r="AJ8" s="16">
        <v>3</v>
      </c>
      <c r="AK8" s="2">
        <f t="shared" si="22"/>
        <v>-1</v>
      </c>
      <c r="AL8" s="13">
        <f t="shared" si="23"/>
        <v>-2</v>
      </c>
      <c r="AM8" s="16">
        <v>3</v>
      </c>
      <c r="AN8" s="2">
        <f t="shared" si="24"/>
        <v>-1</v>
      </c>
      <c r="AO8" s="13">
        <f t="shared" si="25"/>
        <v>-3</v>
      </c>
      <c r="AP8" s="16">
        <v>4</v>
      </c>
      <c r="AQ8" s="2">
        <f t="shared" si="26"/>
        <v>0</v>
      </c>
      <c r="AR8" s="13">
        <f t="shared" si="27"/>
        <v>-3</v>
      </c>
      <c r="AS8" s="16">
        <v>4</v>
      </c>
      <c r="AT8" s="2">
        <f t="shared" si="28"/>
        <v>0</v>
      </c>
      <c r="AU8" s="13">
        <f t="shared" si="35"/>
        <v>-3</v>
      </c>
      <c r="AV8" s="16">
        <v>5</v>
      </c>
      <c r="AW8" s="2">
        <f t="shared" si="29"/>
        <v>1</v>
      </c>
      <c r="AX8" s="13">
        <f t="shared" si="30"/>
        <v>-2</v>
      </c>
      <c r="AY8" s="16">
        <v>6</v>
      </c>
      <c r="AZ8" s="2">
        <f t="shared" si="31"/>
        <v>2</v>
      </c>
      <c r="BA8" s="13">
        <f t="shared" si="32"/>
        <v>0</v>
      </c>
      <c r="BB8" s="16">
        <v>4</v>
      </c>
      <c r="BC8" s="2">
        <f t="shared" si="33"/>
        <v>0</v>
      </c>
      <c r="BD8" s="13">
        <f t="shared" si="34"/>
        <v>0</v>
      </c>
      <c r="BF8" t="s">
        <v>21</v>
      </c>
      <c r="BG8" t="s">
        <v>22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3</v>
      </c>
      <c r="D9" s="2">
        <f t="shared" si="0"/>
        <v>-1</v>
      </c>
      <c r="E9" s="13">
        <f t="shared" si="1"/>
        <v>-1</v>
      </c>
      <c r="F9" s="16">
        <v>6</v>
      </c>
      <c r="G9" s="2">
        <f t="shared" si="2"/>
        <v>2</v>
      </c>
      <c r="H9" s="13">
        <f t="shared" si="3"/>
        <v>1</v>
      </c>
      <c r="I9" s="16">
        <v>4</v>
      </c>
      <c r="J9" s="2">
        <f t="shared" si="4"/>
        <v>0</v>
      </c>
      <c r="K9" s="13">
        <f t="shared" si="5"/>
        <v>1</v>
      </c>
      <c r="L9" s="16">
        <v>4</v>
      </c>
      <c r="M9" s="2">
        <f t="shared" si="6"/>
        <v>0</v>
      </c>
      <c r="N9" s="13">
        <f t="shared" si="7"/>
        <v>1</v>
      </c>
      <c r="O9" s="6">
        <v>7.0000999999999998</v>
      </c>
      <c r="P9" s="2">
        <f t="shared" si="8"/>
        <v>3.0000999999999998</v>
      </c>
      <c r="Q9" s="13">
        <f t="shared" si="9"/>
        <v>4.0000999999999998</v>
      </c>
      <c r="R9" s="16">
        <v>4</v>
      </c>
      <c r="S9" s="2">
        <f t="shared" si="10"/>
        <v>0</v>
      </c>
      <c r="T9" s="13">
        <f t="shared" si="11"/>
        <v>4.0000999999999998</v>
      </c>
      <c r="U9" s="16">
        <v>4</v>
      </c>
      <c r="V9" s="2">
        <f t="shared" si="12"/>
        <v>0</v>
      </c>
      <c r="W9" s="13">
        <f t="shared" si="13"/>
        <v>4.0000999999999998</v>
      </c>
      <c r="X9" s="16">
        <v>5</v>
      </c>
      <c r="Y9" s="2">
        <f t="shared" si="14"/>
        <v>1</v>
      </c>
      <c r="Z9" s="13">
        <f t="shared" si="15"/>
        <v>5.0000999999999998</v>
      </c>
      <c r="AA9" s="16">
        <v>2</v>
      </c>
      <c r="AB9" s="2">
        <f t="shared" si="16"/>
        <v>-2</v>
      </c>
      <c r="AC9" s="13">
        <f t="shared" si="17"/>
        <v>3.0000999999999998</v>
      </c>
      <c r="AD9" s="16">
        <v>4</v>
      </c>
      <c r="AE9" s="2">
        <f t="shared" si="18"/>
        <v>0</v>
      </c>
      <c r="AF9" s="13">
        <f t="shared" si="19"/>
        <v>3.0000999999999998</v>
      </c>
      <c r="AG9" s="16">
        <v>4</v>
      </c>
      <c r="AH9" s="2">
        <f t="shared" si="20"/>
        <v>0</v>
      </c>
      <c r="AI9" s="13">
        <f t="shared" si="21"/>
        <v>3.0000999999999998</v>
      </c>
      <c r="AJ9" s="16">
        <v>3</v>
      </c>
      <c r="AK9" s="2">
        <f t="shared" si="22"/>
        <v>-1</v>
      </c>
      <c r="AL9" s="13">
        <f t="shared" si="23"/>
        <v>2.0000999999999998</v>
      </c>
      <c r="AM9" s="16">
        <v>4</v>
      </c>
      <c r="AN9" s="2">
        <f t="shared" si="24"/>
        <v>0</v>
      </c>
      <c r="AO9" s="13">
        <f t="shared" si="25"/>
        <v>2.0000999999999998</v>
      </c>
      <c r="AP9" s="16">
        <v>5</v>
      </c>
      <c r="AQ9" s="2">
        <f t="shared" si="26"/>
        <v>1</v>
      </c>
      <c r="AR9" s="13">
        <f t="shared" si="27"/>
        <v>3.0000999999999998</v>
      </c>
      <c r="AS9" s="16">
        <v>3</v>
      </c>
      <c r="AT9" s="2">
        <f t="shared" si="28"/>
        <v>-1</v>
      </c>
      <c r="AU9" s="13">
        <f t="shared" si="35"/>
        <v>2.0000999999999998</v>
      </c>
      <c r="AV9" s="16">
        <v>3</v>
      </c>
      <c r="AW9" s="2">
        <f t="shared" si="29"/>
        <v>-1</v>
      </c>
      <c r="AX9" s="13">
        <f t="shared" si="30"/>
        <v>1.0000999999999998</v>
      </c>
      <c r="AY9" s="16">
        <v>4</v>
      </c>
      <c r="AZ9" s="2">
        <f t="shared" si="31"/>
        <v>0</v>
      </c>
      <c r="BA9" s="13">
        <f t="shared" si="32"/>
        <v>1.0000999999999998</v>
      </c>
      <c r="BB9" s="16">
        <v>4</v>
      </c>
      <c r="BC9" s="2">
        <f t="shared" si="33"/>
        <v>0</v>
      </c>
      <c r="BD9" s="13">
        <f t="shared" si="34"/>
        <v>1.0000999999999998</v>
      </c>
      <c r="BF9" t="s">
        <v>23</v>
      </c>
      <c r="BG9" t="s">
        <v>24</v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3.8333333333333335</v>
      </c>
      <c r="D13" s="3"/>
      <c r="E13" s="3"/>
      <c r="F13" s="3">
        <f>IF(COUNT(F4:F11)&gt;0,AVERAGE(F4:F11),"")</f>
        <v>5</v>
      </c>
      <c r="G13" s="3"/>
      <c r="H13" s="3"/>
      <c r="I13" s="3">
        <f>IF(COUNT(I4:I11)&gt;0,AVERAGE(I4:I11),"")</f>
        <v>3.6666666666666665</v>
      </c>
      <c r="J13" s="3"/>
      <c r="K13" s="3"/>
      <c r="L13" s="3">
        <f>IF(COUNT(L4:L11)&gt;0,AVERAGE(L4:L11),"")</f>
        <v>5.5000166666666672</v>
      </c>
      <c r="M13" s="3"/>
      <c r="N13" s="3"/>
      <c r="O13" s="3">
        <f>IF(COUNT(O4:O11)&gt;0,AVERAGE(O4:O11),"")</f>
        <v>4.5000166666666663</v>
      </c>
      <c r="P13" s="3"/>
      <c r="Q13" s="3"/>
      <c r="R13" s="3">
        <f>IF(COUNT(R4:R11)&gt;0,AVERAGE(R4:R11),"")</f>
        <v>3.5</v>
      </c>
      <c r="S13" s="3"/>
      <c r="T13" s="3"/>
      <c r="U13" s="3">
        <f>IF(COUNT(U4:U11)&gt;0,AVERAGE(U4:U11),"")</f>
        <v>5</v>
      </c>
      <c r="V13" s="3"/>
      <c r="W13" s="3"/>
      <c r="X13" s="3">
        <f>IF(COUNT(X4:X11)&gt;0,AVERAGE(X4:X11),"")</f>
        <v>3.6666666666666665</v>
      </c>
      <c r="Y13" s="3"/>
      <c r="Z13" s="3"/>
      <c r="AA13" s="3">
        <f>IF(COUNT(AA4:AA11)&gt;0,AVERAGE(AA4:AA11),"")</f>
        <v>3.6666666666666665</v>
      </c>
      <c r="AB13" s="3"/>
      <c r="AC13" s="3"/>
      <c r="AD13" s="3">
        <f>IF(COUNT(AD4:AD11)&gt;0,AVERAGE(AD4:AD11),"")</f>
        <v>4</v>
      </c>
      <c r="AE13" s="3"/>
      <c r="AF13" s="3"/>
      <c r="AG13" s="3">
        <f>IF(COUNT(AG4:AG11)&gt;0,AVERAGE(AG4:AG11),"")</f>
        <v>3.8333333333333335</v>
      </c>
      <c r="AH13" s="3"/>
      <c r="AI13" s="3"/>
      <c r="AJ13" s="3">
        <f>IF(COUNT(AJ4:AJ11)&gt;0,AVERAGE(AJ4:AJ11),"")</f>
        <v>3.5</v>
      </c>
      <c r="AK13" s="3"/>
      <c r="AL13" s="3"/>
      <c r="AM13" s="3">
        <f>IF(COUNT(AM4:AM11)&gt;0,AVERAGE(AM4:AM11),"")</f>
        <v>4</v>
      </c>
      <c r="AN13" s="18"/>
      <c r="AO13" s="18"/>
      <c r="AP13" s="3">
        <f>IF(COUNT(AP4:AP11)&gt;0,AVERAGE(AP4:AP11),"")</f>
        <v>4.5</v>
      </c>
      <c r="AQ13" s="18"/>
      <c r="AR13" s="18"/>
      <c r="AS13" s="3">
        <f>IF(COUNT(AS4:AS11)&gt;0,AVERAGE(AS4:AS11),"")</f>
        <v>4</v>
      </c>
      <c r="AT13" s="18"/>
      <c r="AU13" s="18"/>
      <c r="AV13" s="3">
        <f>IF(COUNT(AV4:AV11)&gt;0,AVERAGE(AV4:AV11),"")</f>
        <v>3.3333333333333335</v>
      </c>
      <c r="AW13" s="18"/>
      <c r="AX13" s="18"/>
      <c r="AY13" s="3">
        <f>IF(COUNT(AY4:AY11)&gt;0,AVERAGE(AY4:AY11),"")</f>
        <v>4.833333333333333</v>
      </c>
      <c r="AZ13" s="18"/>
      <c r="BA13" s="18"/>
      <c r="BB13" s="3">
        <f>IF(COUNT(BB4:BB11)&gt;0,AVERAGE(BB4:BB11),"")</f>
        <v>4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713-14E9-4BBB-939D-29A6E560790A}">
  <dimension ref="A1:BR60"/>
  <sheetViews>
    <sheetView zoomScale="96" zoomScaleNormal="96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45177</v>
      </c>
      <c r="D1" s="53"/>
      <c r="E1" s="54"/>
      <c r="F1" s="52">
        <f>C1+1</f>
        <v>45178</v>
      </c>
      <c r="G1" s="53"/>
      <c r="H1" s="54"/>
      <c r="I1" s="52">
        <f>F1+1</f>
        <v>45179</v>
      </c>
      <c r="J1" s="53"/>
      <c r="K1" s="54"/>
      <c r="L1" s="52">
        <f>I1+1</f>
        <v>45180</v>
      </c>
      <c r="M1" s="53"/>
      <c r="N1" s="54"/>
      <c r="O1" s="52">
        <f>L1+1</f>
        <v>45181</v>
      </c>
      <c r="P1" s="53"/>
      <c r="Q1" s="54"/>
      <c r="R1" s="52">
        <f>O1+1</f>
        <v>45182</v>
      </c>
      <c r="S1" s="53"/>
      <c r="T1" s="54"/>
      <c r="U1" s="52">
        <f>R1+1</f>
        <v>45183</v>
      </c>
      <c r="V1" s="53"/>
      <c r="W1" s="54"/>
      <c r="X1" s="52">
        <f>U1+1</f>
        <v>45184</v>
      </c>
      <c r="Y1" s="53"/>
      <c r="Z1" s="54"/>
      <c r="AA1" s="52">
        <f>X1+1</f>
        <v>45185</v>
      </c>
      <c r="AB1" s="53"/>
      <c r="AC1" s="54"/>
      <c r="AD1" s="52">
        <f>AA1+1</f>
        <v>45186</v>
      </c>
      <c r="AE1" s="53"/>
      <c r="AF1" s="54"/>
      <c r="AG1" s="52">
        <f>AD1+1</f>
        <v>45187</v>
      </c>
      <c r="AH1" s="53"/>
      <c r="AI1" s="54"/>
      <c r="AJ1" s="52">
        <f>AG1+1</f>
        <v>45188</v>
      </c>
      <c r="AK1" s="53"/>
      <c r="AL1" s="54"/>
      <c r="AM1" s="52">
        <f>AJ1+1</f>
        <v>45189</v>
      </c>
      <c r="AN1" s="53"/>
      <c r="AO1" s="54"/>
      <c r="AP1" s="52">
        <f>AM1+1</f>
        <v>45190</v>
      </c>
      <c r="AQ1" s="53"/>
      <c r="AR1" s="54"/>
      <c r="AS1" s="52">
        <f>AP1+1</f>
        <v>45191</v>
      </c>
      <c r="AT1" s="53"/>
      <c r="AU1" s="54"/>
      <c r="AV1" s="52">
        <f>AS1+1</f>
        <v>45192</v>
      </c>
      <c r="AW1" s="53"/>
      <c r="AX1" s="54"/>
      <c r="AY1" s="52">
        <f>AV1+1</f>
        <v>45193</v>
      </c>
      <c r="AZ1" s="53"/>
      <c r="BA1" s="54"/>
      <c r="BB1" s="52">
        <f>AY1+1</f>
        <v>45194</v>
      </c>
      <c r="BC1" s="53"/>
      <c r="BD1" s="54"/>
    </row>
    <row r="2" spans="1:70" x14ac:dyDescent="0.25">
      <c r="B2" s="9" t="s">
        <v>1</v>
      </c>
      <c r="C2" s="49">
        <v>811</v>
      </c>
      <c r="D2" s="50"/>
      <c r="E2" s="51"/>
      <c r="F2" s="49">
        <f>C2+1</f>
        <v>812</v>
      </c>
      <c r="G2" s="50"/>
      <c r="H2" s="51"/>
      <c r="I2" s="49">
        <f>F2+1</f>
        <v>813</v>
      </c>
      <c r="J2" s="50"/>
      <c r="K2" s="51"/>
      <c r="L2" s="49">
        <f>I2+1</f>
        <v>814</v>
      </c>
      <c r="M2" s="50"/>
      <c r="N2" s="51"/>
      <c r="O2" s="49">
        <f>L2+1</f>
        <v>815</v>
      </c>
      <c r="P2" s="50"/>
      <c r="Q2" s="51"/>
      <c r="R2" s="49">
        <f>O2+1</f>
        <v>816</v>
      </c>
      <c r="S2" s="50"/>
      <c r="T2" s="51"/>
      <c r="U2" s="49">
        <f>R2+1</f>
        <v>817</v>
      </c>
      <c r="V2" s="50"/>
      <c r="W2" s="51"/>
      <c r="X2" s="49">
        <f>U2+1</f>
        <v>818</v>
      </c>
      <c r="Y2" s="50"/>
      <c r="Z2" s="51"/>
      <c r="AA2" s="49">
        <f>X2+1</f>
        <v>819</v>
      </c>
      <c r="AB2" s="50"/>
      <c r="AC2" s="51"/>
      <c r="AD2" s="49">
        <f>AA2+1</f>
        <v>820</v>
      </c>
      <c r="AE2" s="50"/>
      <c r="AF2" s="51"/>
      <c r="AG2" s="49">
        <f>AD2+1</f>
        <v>821</v>
      </c>
      <c r="AH2" s="50"/>
      <c r="AI2" s="51"/>
      <c r="AJ2" s="49">
        <f>AG2+1</f>
        <v>822</v>
      </c>
      <c r="AK2" s="50"/>
      <c r="AL2" s="51"/>
      <c r="AM2" s="49">
        <f>AJ2+1</f>
        <v>823</v>
      </c>
      <c r="AN2" s="50"/>
      <c r="AO2" s="51"/>
      <c r="AP2" s="49">
        <f>AM2+1</f>
        <v>824</v>
      </c>
      <c r="AQ2" s="50"/>
      <c r="AR2" s="51"/>
      <c r="AS2" s="49">
        <f>AP2+1</f>
        <v>825</v>
      </c>
      <c r="AT2" s="50"/>
      <c r="AU2" s="51"/>
      <c r="AV2" s="49">
        <f>AS2+1</f>
        <v>826</v>
      </c>
      <c r="AW2" s="50"/>
      <c r="AX2" s="51"/>
      <c r="AY2" s="49">
        <f>AV2+1</f>
        <v>827</v>
      </c>
      <c r="AZ2" s="50"/>
      <c r="BA2" s="51"/>
      <c r="BB2" s="49">
        <f>AY2+1</f>
        <v>828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3</v>
      </c>
      <c r="J4" s="18">
        <f>IF(I4&lt;&gt;"",I4-$B$1,"")</f>
        <v>-1</v>
      </c>
      <c r="K4" s="13">
        <f>IF(I4&lt;&gt;"",H4+J4,"")</f>
        <v>-3</v>
      </c>
      <c r="L4" s="38">
        <v>5</v>
      </c>
      <c r="M4" s="18">
        <f>IF(L4&lt;&gt;"",L4-$B$1,"")</f>
        <v>1</v>
      </c>
      <c r="N4" s="13">
        <f>IF(L4&lt;&gt;"",K4+M4,"")</f>
        <v>-2</v>
      </c>
      <c r="O4" s="38">
        <v>4</v>
      </c>
      <c r="P4" s="18">
        <f>IF(O4&lt;&gt;"",O4-$B$1,"")</f>
        <v>0</v>
      </c>
      <c r="Q4" s="13">
        <f>IF(O4&lt;&gt;"",N4+P4,"")</f>
        <v>-2</v>
      </c>
      <c r="R4" s="38">
        <v>3</v>
      </c>
      <c r="S4" s="18">
        <f>IF(R4&lt;&gt;"",R4-$B$1,"")</f>
        <v>-1</v>
      </c>
      <c r="T4" s="13">
        <f>IF(R4&lt;&gt;"",Q4+S4,"")</f>
        <v>-3</v>
      </c>
      <c r="U4" s="38">
        <v>4</v>
      </c>
      <c r="V4" s="18">
        <f>IF(U4&lt;&gt;"",U4-$B$1,"")</f>
        <v>0</v>
      </c>
      <c r="W4" s="13">
        <f>IF(U4&lt;&gt;"",T4+V4,"")</f>
        <v>-3</v>
      </c>
      <c r="X4" s="38">
        <v>4</v>
      </c>
      <c r="Y4" s="18">
        <f>IF(X4&lt;&gt;"",X4-$B$1,"")</f>
        <v>0</v>
      </c>
      <c r="Z4" s="13">
        <f>IF(X4&lt;&gt;"",W4+Y4,"")</f>
        <v>-3</v>
      </c>
      <c r="AA4" s="38">
        <v>3</v>
      </c>
      <c r="AB4" s="18">
        <f>IF(AA4&lt;&gt;"",AA4-$B$1,"")</f>
        <v>-1</v>
      </c>
      <c r="AC4" s="13">
        <f>IF(AA4&lt;&gt;"",Z4+AB4,"")</f>
        <v>-4</v>
      </c>
      <c r="AD4" s="38">
        <v>3</v>
      </c>
      <c r="AE4" s="18">
        <f>IF(AD4&lt;&gt;"",AD4-$B$1,"")</f>
        <v>-1</v>
      </c>
      <c r="AF4" s="13">
        <f>IF(AD4&lt;&gt;"",AC4+AE4,"")</f>
        <v>-5</v>
      </c>
      <c r="AG4" s="38">
        <v>5</v>
      </c>
      <c r="AH4" s="18">
        <f>IF(AG4&lt;&gt;"",AG4-$B$1,"")</f>
        <v>1</v>
      </c>
      <c r="AI4" s="13">
        <f>IF(AG4&lt;&gt;"",AF4+AH4,"")</f>
        <v>-4</v>
      </c>
      <c r="AJ4" s="38">
        <v>3</v>
      </c>
      <c r="AK4" s="18">
        <f>IF(AJ4&lt;&gt;"",AJ4-$B$1,"")</f>
        <v>-1</v>
      </c>
      <c r="AL4" s="13">
        <f>IF(AJ4&lt;&gt;"",AI4+AK4,"")</f>
        <v>-5</v>
      </c>
      <c r="AM4" s="38">
        <v>5</v>
      </c>
      <c r="AN4" s="18">
        <f>IF(AM4&lt;&gt;"",AM4-$B$1,"")</f>
        <v>1</v>
      </c>
      <c r="AO4" s="13">
        <f>IF(AM4&lt;&gt;"",AL4+AN4,"")</f>
        <v>-4</v>
      </c>
      <c r="AP4" s="38">
        <v>3</v>
      </c>
      <c r="AQ4" s="18">
        <f>IF(AP4&lt;&gt;"",AP4-$B$1,"")</f>
        <v>-1</v>
      </c>
      <c r="AR4" s="13">
        <f>IF(AP4&lt;&gt;"",AO4+AQ4,"")</f>
        <v>-5</v>
      </c>
      <c r="AS4" s="38">
        <v>3</v>
      </c>
      <c r="AT4" s="18">
        <f>IF(AS4&lt;&gt;"",AS4-$B$1,"")</f>
        <v>-1</v>
      </c>
      <c r="AU4" s="13">
        <f>IF(AS4&lt;&gt;"",AR4+AT4,"")</f>
        <v>-6</v>
      </c>
      <c r="AV4" s="38">
        <v>5</v>
      </c>
      <c r="AW4" s="18">
        <f>IF(AV4&lt;&gt;"",AV4-$B$1,"")</f>
        <v>1</v>
      </c>
      <c r="AX4" s="13">
        <f>IF(AV4&lt;&gt;"",AU4+AW4,"")</f>
        <v>-5</v>
      </c>
      <c r="AY4" s="38">
        <v>3</v>
      </c>
      <c r="AZ4" s="18">
        <f>IF(AY4&lt;&gt;"",AY4-$B$1,"")</f>
        <v>-1</v>
      </c>
      <c r="BA4" s="13">
        <f>IF(AY4&lt;&gt;"",AX4+AZ4,"")</f>
        <v>-6</v>
      </c>
      <c r="BB4" s="38">
        <v>4</v>
      </c>
      <c r="BC4" s="18">
        <f>IF(BB4&lt;&gt;"",BB4-$B$1,"")</f>
        <v>0</v>
      </c>
      <c r="BD4" s="13">
        <f>IF(BB4&lt;&gt;"",BA4+BC4,"")</f>
        <v>-6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6</v>
      </c>
      <c r="D5" s="2">
        <f t="shared" ref="D5:D9" si="0">IF(C5&lt;&gt;"",C5-$B$1,"")</f>
        <v>2</v>
      </c>
      <c r="E5" s="13">
        <f t="shared" ref="E5:E9" si="1">D5</f>
        <v>2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-1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0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1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0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1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0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0</v>
      </c>
      <c r="AJ5" s="16">
        <v>5</v>
      </c>
      <c r="AK5" s="2">
        <f t="shared" ref="AK5:AK9" si="22">IF(AJ5&lt;&gt;"",AJ5-$B$1,"")</f>
        <v>1</v>
      </c>
      <c r="AL5" s="13">
        <f t="shared" ref="AL5:AL9" si="23">IF(AJ5&lt;&gt;"",AI5+AK5,"")</f>
        <v>1</v>
      </c>
      <c r="AM5" s="16">
        <v>3</v>
      </c>
      <c r="AN5" s="2">
        <f t="shared" ref="AN5:AN9" si="24">IF(AM5&lt;&gt;"",AM5-$B$1,"")</f>
        <v>-1</v>
      </c>
      <c r="AO5" s="13">
        <f t="shared" ref="AO5:AO9" si="25">IF(AM5&lt;&gt;"",AL5+AN5,"")</f>
        <v>0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0</v>
      </c>
      <c r="AS5" s="16">
        <v>4</v>
      </c>
      <c r="AT5" s="2">
        <f t="shared" ref="AT5:AT9" si="28">IF(AS5&lt;&gt;"",AS5-$B$1,"")</f>
        <v>0</v>
      </c>
      <c r="AU5" s="13">
        <f>IF(AS5&lt;&gt;"",AR5+AT5,"")</f>
        <v>0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0</v>
      </c>
      <c r="AY5" s="16">
        <v>6</v>
      </c>
      <c r="AZ5" s="2">
        <f t="shared" ref="AZ5:AZ9" si="31">IF(AY5&lt;&gt;"",AY5-$B$1,"")</f>
        <v>2</v>
      </c>
      <c r="BA5" s="13">
        <f t="shared" ref="BA5:BA9" si="32">IF(AY5&lt;&gt;"",AX5+AZ5,"")</f>
        <v>2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1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>
        <v>3</v>
      </c>
      <c r="S6" s="2">
        <f t="shared" si="10"/>
        <v>-1</v>
      </c>
      <c r="T6" s="13">
        <f t="shared" si="11"/>
        <v>-5</v>
      </c>
      <c r="U6" s="16">
        <v>4</v>
      </c>
      <c r="V6" s="2">
        <f t="shared" si="12"/>
        <v>0</v>
      </c>
      <c r="W6" s="13">
        <f t="shared" si="13"/>
        <v>-5</v>
      </c>
      <c r="X6" s="16">
        <v>3</v>
      </c>
      <c r="Y6" s="2">
        <f t="shared" si="14"/>
        <v>-1</v>
      </c>
      <c r="Z6" s="13">
        <f t="shared" si="15"/>
        <v>-6</v>
      </c>
      <c r="AA6" s="16">
        <v>4</v>
      </c>
      <c r="AB6" s="2">
        <f t="shared" si="16"/>
        <v>0</v>
      </c>
      <c r="AC6" s="13">
        <f t="shared" si="17"/>
        <v>-6</v>
      </c>
      <c r="AD6" s="16">
        <v>2</v>
      </c>
      <c r="AE6" s="2">
        <f t="shared" si="18"/>
        <v>-2</v>
      </c>
      <c r="AF6" s="13">
        <f t="shared" si="19"/>
        <v>-8</v>
      </c>
      <c r="AG6" s="16">
        <v>5</v>
      </c>
      <c r="AH6" s="2">
        <f t="shared" si="20"/>
        <v>1</v>
      </c>
      <c r="AI6" s="13">
        <f t="shared" si="21"/>
        <v>-7</v>
      </c>
      <c r="AJ6" s="16">
        <v>3</v>
      </c>
      <c r="AK6" s="2">
        <f t="shared" si="22"/>
        <v>-1</v>
      </c>
      <c r="AL6" s="13">
        <f t="shared" si="23"/>
        <v>-8</v>
      </c>
      <c r="AM6" s="16">
        <v>5</v>
      </c>
      <c r="AN6" s="2">
        <f t="shared" si="24"/>
        <v>1</v>
      </c>
      <c r="AO6" s="13">
        <f t="shared" si="25"/>
        <v>-7</v>
      </c>
      <c r="AP6" s="16">
        <v>3</v>
      </c>
      <c r="AQ6" s="2">
        <f>IF(AP6&lt;&gt;"",AP6-$B$1,"")</f>
        <v>-1</v>
      </c>
      <c r="AR6" s="13">
        <f>IF(AP6&lt;&gt;"",AO6+AQ6,"")</f>
        <v>-8</v>
      </c>
      <c r="AS6" s="16">
        <v>5</v>
      </c>
      <c r="AT6" s="2">
        <f t="shared" si="28"/>
        <v>1</v>
      </c>
      <c r="AU6" s="13">
        <f t="shared" ref="AU6:AU9" si="35">IF(AS6&lt;&gt;"",AR6+AT6,"")</f>
        <v>-7</v>
      </c>
      <c r="AV6" s="16">
        <v>5</v>
      </c>
      <c r="AW6" s="2">
        <f t="shared" si="29"/>
        <v>1</v>
      </c>
      <c r="AX6" s="13">
        <f t="shared" si="30"/>
        <v>-6</v>
      </c>
      <c r="AY6" s="16">
        <v>3</v>
      </c>
      <c r="AZ6" s="2">
        <f t="shared" si="31"/>
        <v>-1</v>
      </c>
      <c r="BA6" s="13">
        <f t="shared" si="32"/>
        <v>-7</v>
      </c>
      <c r="BB6" s="16">
        <v>3</v>
      </c>
      <c r="BC6" s="2">
        <f t="shared" si="33"/>
        <v>-1</v>
      </c>
      <c r="BD6" s="13">
        <f t="shared" si="34"/>
        <v>-8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>IF(L7&lt;&gt;"",L7-$B$1,"")</f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2</v>
      </c>
      <c r="S7" s="2">
        <f t="shared" si="10"/>
        <v>-2</v>
      </c>
      <c r="T7" s="13">
        <f t="shared" si="11"/>
        <v>-4</v>
      </c>
      <c r="U7" s="16">
        <v>5</v>
      </c>
      <c r="V7" s="2">
        <f t="shared" si="12"/>
        <v>1</v>
      </c>
      <c r="W7" s="13">
        <f t="shared" si="13"/>
        <v>-3</v>
      </c>
      <c r="X7" s="16">
        <v>6</v>
      </c>
      <c r="Y7" s="2">
        <f t="shared" si="14"/>
        <v>2</v>
      </c>
      <c r="Z7" s="13">
        <f t="shared" si="15"/>
        <v>-1</v>
      </c>
      <c r="AA7" s="16">
        <v>3</v>
      </c>
      <c r="AB7" s="2">
        <f t="shared" si="16"/>
        <v>-1</v>
      </c>
      <c r="AC7" s="13">
        <f t="shared" si="17"/>
        <v>-2</v>
      </c>
      <c r="AD7" s="16">
        <v>3</v>
      </c>
      <c r="AE7" s="2">
        <f>IF(AD7&lt;&gt;"",AD7-$B$1,"")</f>
        <v>-1</v>
      </c>
      <c r="AF7" s="13">
        <f>IF(AD7&lt;&gt;"",AC7+AE7,"")</f>
        <v>-3</v>
      </c>
      <c r="AG7" s="16">
        <v>5</v>
      </c>
      <c r="AH7" s="2">
        <f t="shared" si="20"/>
        <v>1</v>
      </c>
      <c r="AI7" s="13">
        <f t="shared" si="21"/>
        <v>-2</v>
      </c>
      <c r="AJ7" s="16">
        <v>3</v>
      </c>
      <c r="AK7" s="2">
        <f t="shared" si="22"/>
        <v>-1</v>
      </c>
      <c r="AL7" s="13">
        <f t="shared" si="23"/>
        <v>-3</v>
      </c>
      <c r="AM7" s="16">
        <v>3</v>
      </c>
      <c r="AN7" s="2">
        <f t="shared" si="24"/>
        <v>-1</v>
      </c>
      <c r="AO7" s="13">
        <f t="shared" si="25"/>
        <v>-4</v>
      </c>
      <c r="AP7" s="16">
        <v>3</v>
      </c>
      <c r="AQ7" s="2">
        <f t="shared" si="26"/>
        <v>-1</v>
      </c>
      <c r="AR7" s="13">
        <f t="shared" si="27"/>
        <v>-5</v>
      </c>
      <c r="AS7" s="16">
        <v>3</v>
      </c>
      <c r="AT7" s="2">
        <f t="shared" si="28"/>
        <v>-1</v>
      </c>
      <c r="AU7" s="13">
        <f>IF(AS7&lt;&gt;"",AR7+AT7,"")</f>
        <v>-6</v>
      </c>
      <c r="AV7" s="16">
        <v>4</v>
      </c>
      <c r="AW7" s="2">
        <f t="shared" si="29"/>
        <v>0</v>
      </c>
      <c r="AX7" s="13">
        <f t="shared" si="30"/>
        <v>-6</v>
      </c>
      <c r="AY7" s="16">
        <v>3</v>
      </c>
      <c r="AZ7" s="2">
        <f t="shared" si="31"/>
        <v>-1</v>
      </c>
      <c r="BA7" s="13">
        <f t="shared" si="32"/>
        <v>-7</v>
      </c>
      <c r="BB7" s="16">
        <v>5</v>
      </c>
      <c r="BC7" s="2">
        <f t="shared" si="33"/>
        <v>1</v>
      </c>
      <c r="BD7" s="13">
        <f t="shared" si="34"/>
        <v>-6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5</v>
      </c>
      <c r="D8" s="2">
        <f t="shared" si="0"/>
        <v>1</v>
      </c>
      <c r="E8" s="13">
        <f t="shared" si="1"/>
        <v>1</v>
      </c>
      <c r="F8" s="16">
        <v>5</v>
      </c>
      <c r="G8" s="2">
        <f t="shared" si="2"/>
        <v>1</v>
      </c>
      <c r="H8" s="13">
        <f t="shared" si="3"/>
        <v>2</v>
      </c>
      <c r="I8" s="16">
        <v>3</v>
      </c>
      <c r="J8" s="2">
        <f t="shared" si="4"/>
        <v>-1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3</v>
      </c>
      <c r="P8" s="2">
        <f t="shared" si="8"/>
        <v>-1</v>
      </c>
      <c r="Q8" s="13">
        <f t="shared" si="9"/>
        <v>0</v>
      </c>
      <c r="R8" s="16">
        <v>6</v>
      </c>
      <c r="S8" s="2">
        <f t="shared" si="10"/>
        <v>2</v>
      </c>
      <c r="T8" s="13">
        <f t="shared" si="11"/>
        <v>2</v>
      </c>
      <c r="U8" s="8">
        <v>6.9999000000000002</v>
      </c>
      <c r="V8" s="2">
        <f t="shared" si="12"/>
        <v>2.9999000000000002</v>
      </c>
      <c r="W8" s="13">
        <f t="shared" si="13"/>
        <v>4.9999000000000002</v>
      </c>
      <c r="X8" s="16">
        <v>5</v>
      </c>
      <c r="Y8" s="2">
        <f t="shared" si="14"/>
        <v>1</v>
      </c>
      <c r="Z8" s="13">
        <f t="shared" si="15"/>
        <v>5.9999000000000002</v>
      </c>
      <c r="AA8" s="8">
        <v>6.9999000000000002</v>
      </c>
      <c r="AB8" s="2">
        <f t="shared" si="16"/>
        <v>2.9999000000000002</v>
      </c>
      <c r="AC8" s="13">
        <f t="shared" si="17"/>
        <v>8.9998000000000005</v>
      </c>
      <c r="AD8" s="16">
        <v>4</v>
      </c>
      <c r="AE8" s="2">
        <f t="shared" si="18"/>
        <v>0</v>
      </c>
      <c r="AF8" s="13">
        <f t="shared" si="19"/>
        <v>8.9998000000000005</v>
      </c>
      <c r="AG8" s="16">
        <v>4</v>
      </c>
      <c r="AH8" s="2">
        <f t="shared" si="20"/>
        <v>0</v>
      </c>
      <c r="AI8" s="13">
        <f t="shared" si="21"/>
        <v>8.9998000000000005</v>
      </c>
      <c r="AJ8" s="16">
        <v>3</v>
      </c>
      <c r="AK8" s="2">
        <f t="shared" si="22"/>
        <v>-1</v>
      </c>
      <c r="AL8" s="13">
        <f t="shared" si="23"/>
        <v>7.9998000000000005</v>
      </c>
      <c r="AM8" s="16">
        <v>4</v>
      </c>
      <c r="AN8" s="2">
        <f t="shared" si="24"/>
        <v>0</v>
      </c>
      <c r="AO8" s="13">
        <f t="shared" si="25"/>
        <v>7.9998000000000005</v>
      </c>
      <c r="AP8" s="16">
        <v>3</v>
      </c>
      <c r="AQ8" s="2">
        <f t="shared" si="26"/>
        <v>-1</v>
      </c>
      <c r="AR8" s="13">
        <f t="shared" si="27"/>
        <v>6.9998000000000005</v>
      </c>
      <c r="AS8" s="16">
        <v>4</v>
      </c>
      <c r="AT8" s="2">
        <f t="shared" si="28"/>
        <v>0</v>
      </c>
      <c r="AU8" s="13">
        <f t="shared" si="35"/>
        <v>6.9998000000000005</v>
      </c>
      <c r="AV8" s="16">
        <v>5</v>
      </c>
      <c r="AW8" s="2">
        <f t="shared" si="29"/>
        <v>1</v>
      </c>
      <c r="AX8" s="13">
        <f t="shared" si="30"/>
        <v>7.9998000000000005</v>
      </c>
      <c r="AY8" s="16">
        <v>3</v>
      </c>
      <c r="AZ8" s="2">
        <f t="shared" si="31"/>
        <v>-1</v>
      </c>
      <c r="BA8" s="13">
        <f t="shared" si="32"/>
        <v>6.9998000000000005</v>
      </c>
      <c r="BB8" s="16">
        <v>4</v>
      </c>
      <c r="BC8" s="2">
        <f t="shared" si="33"/>
        <v>0</v>
      </c>
      <c r="BD8" s="13">
        <f t="shared" si="34"/>
        <v>6.9998000000000005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6">
        <v>7.0000999999999998</v>
      </c>
      <c r="J9" s="2">
        <f t="shared" si="4"/>
        <v>3.0000999999999998</v>
      </c>
      <c r="K9" s="13">
        <f t="shared" si="5"/>
        <v>3.0000999999999998</v>
      </c>
      <c r="L9" s="16">
        <v>3</v>
      </c>
      <c r="M9" s="2">
        <f t="shared" si="6"/>
        <v>-1</v>
      </c>
      <c r="N9" s="13">
        <f t="shared" si="7"/>
        <v>2.0000999999999998</v>
      </c>
      <c r="O9" s="16">
        <v>5</v>
      </c>
      <c r="P9" s="2">
        <f t="shared" si="8"/>
        <v>1</v>
      </c>
      <c r="Q9" s="13">
        <f t="shared" si="9"/>
        <v>3.0000999999999998</v>
      </c>
      <c r="R9" s="16">
        <v>5</v>
      </c>
      <c r="S9" s="2">
        <f t="shared" si="10"/>
        <v>1</v>
      </c>
      <c r="T9" s="13">
        <f t="shared" si="11"/>
        <v>4.0000999999999998</v>
      </c>
      <c r="U9" s="16">
        <v>4</v>
      </c>
      <c r="V9" s="2">
        <f t="shared" si="12"/>
        <v>0</v>
      </c>
      <c r="W9" s="13">
        <f t="shared" si="13"/>
        <v>4.0000999999999998</v>
      </c>
      <c r="X9" s="16">
        <v>4</v>
      </c>
      <c r="Y9" s="2">
        <f t="shared" si="14"/>
        <v>0</v>
      </c>
      <c r="Z9" s="13">
        <f t="shared" si="15"/>
        <v>4.0000999999999998</v>
      </c>
      <c r="AA9" s="16">
        <v>2</v>
      </c>
      <c r="AB9" s="2">
        <f t="shared" si="16"/>
        <v>-2</v>
      </c>
      <c r="AC9" s="13">
        <f t="shared" si="17"/>
        <v>2.0000999999999998</v>
      </c>
      <c r="AD9" s="16">
        <v>3</v>
      </c>
      <c r="AE9" s="2">
        <f t="shared" si="18"/>
        <v>-1</v>
      </c>
      <c r="AF9" s="13">
        <f t="shared" si="19"/>
        <v>1.0000999999999998</v>
      </c>
      <c r="AG9" s="16">
        <v>3</v>
      </c>
      <c r="AH9" s="2">
        <f t="shared" si="20"/>
        <v>-1</v>
      </c>
      <c r="AI9" s="13">
        <f t="shared" si="21"/>
        <v>9.9999999999766942E-5</v>
      </c>
      <c r="AJ9" s="16">
        <v>4</v>
      </c>
      <c r="AK9" s="2">
        <f t="shared" si="22"/>
        <v>0</v>
      </c>
      <c r="AL9" s="13">
        <f t="shared" si="23"/>
        <v>9.9999999999766942E-5</v>
      </c>
      <c r="AM9" s="16">
        <v>6</v>
      </c>
      <c r="AN9" s="2">
        <f t="shared" si="24"/>
        <v>2</v>
      </c>
      <c r="AO9" s="13">
        <f t="shared" si="25"/>
        <v>2.0000999999999998</v>
      </c>
      <c r="AP9" s="16">
        <v>4</v>
      </c>
      <c r="AQ9" s="2">
        <f t="shared" si="26"/>
        <v>0</v>
      </c>
      <c r="AR9" s="13">
        <f t="shared" si="27"/>
        <v>2.0000999999999998</v>
      </c>
      <c r="AS9" s="16">
        <v>3</v>
      </c>
      <c r="AT9" s="2">
        <f t="shared" si="28"/>
        <v>-1</v>
      </c>
      <c r="AU9" s="13">
        <f t="shared" si="35"/>
        <v>1.0000999999999998</v>
      </c>
      <c r="AV9" s="16">
        <v>3</v>
      </c>
      <c r="AW9" s="2">
        <f t="shared" si="29"/>
        <v>-1</v>
      </c>
      <c r="AX9" s="13">
        <f t="shared" si="30"/>
        <v>9.9999999999766942E-5</v>
      </c>
      <c r="AY9" s="16">
        <v>3</v>
      </c>
      <c r="AZ9" s="2">
        <f t="shared" si="31"/>
        <v>-1</v>
      </c>
      <c r="BA9" s="13">
        <f t="shared" si="32"/>
        <v>-0.99990000000000023</v>
      </c>
      <c r="BB9" s="16">
        <v>5</v>
      </c>
      <c r="BC9" s="2">
        <f t="shared" si="33"/>
        <v>1</v>
      </c>
      <c r="BD9" s="13">
        <f t="shared" si="34"/>
        <v>9.9999999999766942E-5</v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3.8333499999999998</v>
      </c>
      <c r="J13" s="3"/>
      <c r="K13" s="3"/>
      <c r="L13" s="3">
        <f>IF(COUNT(L4:L11)&gt;0,AVERAGE(L4:L11),"")</f>
        <v>3.8333333333333335</v>
      </c>
      <c r="M13" s="3"/>
      <c r="N13" s="3"/>
      <c r="O13" s="3">
        <f>IF(COUNT(O4:O11)&gt;0,AVERAGE(O4:O11),"")</f>
        <v>3.6666666666666665</v>
      </c>
      <c r="P13" s="3"/>
      <c r="Q13" s="3"/>
      <c r="R13" s="3">
        <f>IF(COUNT(R4:R11)&gt;0,AVERAGE(R4:R11),"")</f>
        <v>4</v>
      </c>
      <c r="S13" s="3"/>
      <c r="T13" s="3"/>
      <c r="U13" s="3">
        <f>IF(COUNT(U4:U11)&gt;0,AVERAGE(U4:U11),"")</f>
        <v>4.8333166666666667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3.9999833333333332</v>
      </c>
      <c r="AB13" s="3"/>
      <c r="AC13" s="3"/>
      <c r="AD13" s="3">
        <f>IF(COUNT(AD4:AD11)&gt;0,AVERAGE(AD4:AD11),"")</f>
        <v>3</v>
      </c>
      <c r="AE13" s="3"/>
      <c r="AF13" s="3"/>
      <c r="AG13" s="3">
        <f>IF(COUNT(AG4:AG11)&gt;0,AVERAGE(AG4:AG11),"")</f>
        <v>4.333333333333333</v>
      </c>
      <c r="AH13" s="3"/>
      <c r="AI13" s="3"/>
      <c r="AJ13" s="3">
        <f>IF(COUNT(AJ4:AJ11)&gt;0,AVERAGE(AJ4:AJ11),"")</f>
        <v>3.5</v>
      </c>
      <c r="AK13" s="3"/>
      <c r="AL13" s="3"/>
      <c r="AM13" s="3">
        <f>IF(COUNT(AM4:AM11)&gt;0,AVERAGE(AM4:AM11),"")</f>
        <v>4.333333333333333</v>
      </c>
      <c r="AN13" s="18"/>
      <c r="AO13" s="18"/>
      <c r="AP13" s="3">
        <f>IF(COUNT(AP4:AP11)&gt;0,AVERAGE(AP4:AP11),"")</f>
        <v>3.3333333333333335</v>
      </c>
      <c r="AQ13" s="18"/>
      <c r="AR13" s="18"/>
      <c r="AS13" s="3">
        <f>IF(COUNT(AS4:AS11)&gt;0,AVERAGE(AS4:AS11),"")</f>
        <v>3.6666666666666665</v>
      </c>
      <c r="AT13" s="18"/>
      <c r="AU13" s="18"/>
      <c r="AV13" s="3">
        <f>IF(COUNT(AV4:AV11)&gt;0,AVERAGE(AV4:AV11),"")</f>
        <v>4.333333333333333</v>
      </c>
      <c r="AW13" s="18"/>
      <c r="AX13" s="18"/>
      <c r="AY13" s="3">
        <f>IF(COUNT(AY4:AY11)&gt;0,AVERAGE(AY4:AY11),"")</f>
        <v>3.5</v>
      </c>
      <c r="AZ13" s="18"/>
      <c r="BA13" s="18"/>
      <c r="BB13" s="3">
        <f>IF(COUNT(BB4:BB11)&gt;0,AVERAGE(BB4:BB11),"")</f>
        <v>4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006-812A-4CB9-95E9-FFE130BE957B}">
  <sheetPr codeName="Sheet11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45149</v>
      </c>
      <c r="D1" s="53"/>
      <c r="E1" s="54"/>
      <c r="F1" s="52">
        <f>C1+1</f>
        <v>45150</v>
      </c>
      <c r="G1" s="53"/>
      <c r="H1" s="54"/>
      <c r="I1" s="52">
        <f>F1+1</f>
        <v>45151</v>
      </c>
      <c r="J1" s="53"/>
      <c r="K1" s="54"/>
      <c r="L1" s="52">
        <f>I1+1</f>
        <v>45152</v>
      </c>
      <c r="M1" s="53"/>
      <c r="N1" s="54"/>
      <c r="O1" s="52">
        <f>L1+1</f>
        <v>45153</v>
      </c>
      <c r="P1" s="53"/>
      <c r="Q1" s="54"/>
      <c r="R1" s="52">
        <f>O1+1</f>
        <v>45154</v>
      </c>
      <c r="S1" s="53"/>
      <c r="T1" s="54"/>
      <c r="U1" s="52">
        <f>R1+1</f>
        <v>45155</v>
      </c>
      <c r="V1" s="53"/>
      <c r="W1" s="54"/>
      <c r="X1" s="52">
        <f>U1+1</f>
        <v>45156</v>
      </c>
      <c r="Y1" s="53"/>
      <c r="Z1" s="54"/>
      <c r="AA1" s="52">
        <f>X1+1</f>
        <v>45157</v>
      </c>
      <c r="AB1" s="53"/>
      <c r="AC1" s="54"/>
      <c r="AD1" s="52">
        <f>AA1+1</f>
        <v>45158</v>
      </c>
      <c r="AE1" s="53"/>
      <c r="AF1" s="54"/>
      <c r="AG1" s="52">
        <f>AD1+1</f>
        <v>45159</v>
      </c>
      <c r="AH1" s="53"/>
      <c r="AI1" s="54"/>
      <c r="AJ1" s="52">
        <f>AG1+1</f>
        <v>45160</v>
      </c>
      <c r="AK1" s="53"/>
      <c r="AL1" s="54"/>
      <c r="AM1" s="52">
        <f>AJ1+1</f>
        <v>45161</v>
      </c>
      <c r="AN1" s="53"/>
      <c r="AO1" s="54"/>
      <c r="AP1" s="52">
        <f>AM1+1</f>
        <v>45162</v>
      </c>
      <c r="AQ1" s="53"/>
      <c r="AR1" s="54"/>
      <c r="AS1" s="52">
        <f>AP1+1</f>
        <v>45163</v>
      </c>
      <c r="AT1" s="53"/>
      <c r="AU1" s="54"/>
      <c r="AV1" s="52">
        <f>AS1+1</f>
        <v>45164</v>
      </c>
      <c r="AW1" s="53"/>
      <c r="AX1" s="54"/>
      <c r="AY1" s="52">
        <f>AV1+1</f>
        <v>45165</v>
      </c>
      <c r="AZ1" s="53"/>
      <c r="BA1" s="54"/>
      <c r="BB1" s="52">
        <f>AY1+1</f>
        <v>45166</v>
      </c>
      <c r="BC1" s="53"/>
      <c r="BD1" s="54"/>
    </row>
    <row r="2" spans="1:70" x14ac:dyDescent="0.25">
      <c r="B2" s="9" t="s">
        <v>1</v>
      </c>
      <c r="C2" s="49">
        <v>783</v>
      </c>
      <c r="D2" s="50"/>
      <c r="E2" s="51"/>
      <c r="F2" s="49">
        <f>C2+1</f>
        <v>784</v>
      </c>
      <c r="G2" s="50"/>
      <c r="H2" s="51"/>
      <c r="I2" s="49">
        <f>F2+1</f>
        <v>785</v>
      </c>
      <c r="J2" s="50"/>
      <c r="K2" s="51"/>
      <c r="L2" s="49">
        <f>I2+1</f>
        <v>786</v>
      </c>
      <c r="M2" s="50"/>
      <c r="N2" s="51"/>
      <c r="O2" s="49">
        <f>L2+1</f>
        <v>787</v>
      </c>
      <c r="P2" s="50"/>
      <c r="Q2" s="51"/>
      <c r="R2" s="49">
        <f>O2+1</f>
        <v>788</v>
      </c>
      <c r="S2" s="50"/>
      <c r="T2" s="51"/>
      <c r="U2" s="49">
        <f>R2+1</f>
        <v>789</v>
      </c>
      <c r="V2" s="50"/>
      <c r="W2" s="51"/>
      <c r="X2" s="49">
        <f>U2+1</f>
        <v>790</v>
      </c>
      <c r="Y2" s="50"/>
      <c r="Z2" s="51"/>
      <c r="AA2" s="49">
        <f>X2+1</f>
        <v>791</v>
      </c>
      <c r="AB2" s="50"/>
      <c r="AC2" s="51"/>
      <c r="AD2" s="49">
        <f>AA2+1</f>
        <v>792</v>
      </c>
      <c r="AE2" s="50"/>
      <c r="AF2" s="51"/>
      <c r="AG2" s="49">
        <f>AD2+1</f>
        <v>793</v>
      </c>
      <c r="AH2" s="50"/>
      <c r="AI2" s="51"/>
      <c r="AJ2" s="49">
        <f>AG2+1</f>
        <v>794</v>
      </c>
      <c r="AK2" s="50"/>
      <c r="AL2" s="51"/>
      <c r="AM2" s="49">
        <f>AJ2+1</f>
        <v>795</v>
      </c>
      <c r="AN2" s="50"/>
      <c r="AO2" s="51"/>
      <c r="AP2" s="49">
        <f>AM2+1</f>
        <v>796</v>
      </c>
      <c r="AQ2" s="50"/>
      <c r="AR2" s="51"/>
      <c r="AS2" s="49">
        <f>AP2+1</f>
        <v>797</v>
      </c>
      <c r="AT2" s="50"/>
      <c r="AU2" s="51"/>
      <c r="AV2" s="49">
        <f>AS2+1</f>
        <v>798</v>
      </c>
      <c r="AW2" s="50"/>
      <c r="AX2" s="51"/>
      <c r="AY2" s="49">
        <f>AV2+1</f>
        <v>799</v>
      </c>
      <c r="AZ2" s="50"/>
      <c r="BA2" s="51"/>
      <c r="BB2" s="49">
        <f>AY2+1</f>
        <v>800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5</v>
      </c>
      <c r="D4" s="18">
        <f>IF(C4&lt;&gt;"",C4-$B$1,"")</f>
        <v>1</v>
      </c>
      <c r="E4" s="24">
        <f>D4</f>
        <v>1</v>
      </c>
      <c r="F4" s="38">
        <v>5</v>
      </c>
      <c r="G4" s="18">
        <f>IF(F4&lt;&gt;"",F4-$B$1,"")</f>
        <v>1</v>
      </c>
      <c r="H4" s="13">
        <f>IF(F4&lt;&gt;"",E4+G4,"")</f>
        <v>2</v>
      </c>
      <c r="I4" s="38">
        <v>4</v>
      </c>
      <c r="J4" s="18">
        <f>IF(I4&lt;&gt;"",I4-$B$1,"")</f>
        <v>0</v>
      </c>
      <c r="K4" s="13">
        <f>IF(I4&lt;&gt;"",H4+J4,"")</f>
        <v>2</v>
      </c>
      <c r="L4" s="38">
        <v>5</v>
      </c>
      <c r="M4" s="18">
        <f>IF(L4&lt;&gt;"",L4-$B$1,"")</f>
        <v>1</v>
      </c>
      <c r="N4" s="13">
        <f>IF(L4&lt;&gt;"",K4+M4,"")</f>
        <v>3</v>
      </c>
      <c r="O4" s="38">
        <v>5</v>
      </c>
      <c r="P4" s="18">
        <f>IF(O4&lt;&gt;"",O4-$B$1,"")</f>
        <v>1</v>
      </c>
      <c r="Q4" s="13">
        <f>IF(O4&lt;&gt;"",N4+P4,"")</f>
        <v>4</v>
      </c>
      <c r="R4" s="38">
        <v>4</v>
      </c>
      <c r="S4" s="18">
        <f>IF(R4&lt;&gt;"",R4-$B$1,"")</f>
        <v>0</v>
      </c>
      <c r="T4" s="13">
        <f>IF(R4&lt;&gt;"",Q4+S4,"")</f>
        <v>4</v>
      </c>
      <c r="U4" s="38">
        <v>2</v>
      </c>
      <c r="V4" s="18">
        <f>IF(U4&lt;&gt;"",U4-$B$1,"")</f>
        <v>-2</v>
      </c>
      <c r="W4" s="13">
        <f>IF(U4&lt;&gt;"",T4+V4,"")</f>
        <v>2</v>
      </c>
      <c r="X4" s="38">
        <v>4</v>
      </c>
      <c r="Y4" s="18">
        <f>IF(X4&lt;&gt;"",X4-$B$1,"")</f>
        <v>0</v>
      </c>
      <c r="Z4" s="13">
        <f>IF(X4&lt;&gt;"",W4+Y4,"")</f>
        <v>2</v>
      </c>
      <c r="AA4" s="38">
        <v>5</v>
      </c>
      <c r="AB4" s="18">
        <f>IF(AA4&lt;&gt;"",AA4-$B$1,"")</f>
        <v>1</v>
      </c>
      <c r="AC4" s="13">
        <f>IF(AA4&lt;&gt;"",Z4+AB4,"")</f>
        <v>3</v>
      </c>
      <c r="AD4" s="38">
        <v>4</v>
      </c>
      <c r="AE4" s="18">
        <f>IF(AD4&lt;&gt;"",AD4-$B$1,"")</f>
        <v>0</v>
      </c>
      <c r="AF4" s="13">
        <f>IF(AD4&lt;&gt;"",AC4+AE4,"")</f>
        <v>3</v>
      </c>
      <c r="AG4" s="38">
        <v>4</v>
      </c>
      <c r="AH4" s="18">
        <f>IF(AG4&lt;&gt;"",AG4-$B$1,"")</f>
        <v>0</v>
      </c>
      <c r="AI4" s="13">
        <f>IF(AG4&lt;&gt;"",AF4+AH4,"")</f>
        <v>3</v>
      </c>
      <c r="AJ4" s="38">
        <v>6</v>
      </c>
      <c r="AK4" s="18">
        <f>IF(AJ4&lt;&gt;"",AJ4-$B$1,"")</f>
        <v>2</v>
      </c>
      <c r="AL4" s="13">
        <f>IF(AJ4&lt;&gt;"",AI4+AK4,"")</f>
        <v>5</v>
      </c>
      <c r="AM4" s="38">
        <v>4</v>
      </c>
      <c r="AN4" s="18">
        <f>IF(AM4&lt;&gt;"",AM4-$B$1,"")</f>
        <v>0</v>
      </c>
      <c r="AO4" s="13">
        <f>IF(AM4&lt;&gt;"",AL4+AN4,"")</f>
        <v>5</v>
      </c>
      <c r="AP4" s="38">
        <v>4</v>
      </c>
      <c r="AQ4" s="18">
        <f>IF(AP4&lt;&gt;"",AP4-$B$1,"")</f>
        <v>0</v>
      </c>
      <c r="AR4" s="13">
        <f>IF(AP4&lt;&gt;"",AO4+AQ4,"")</f>
        <v>5</v>
      </c>
      <c r="AS4" s="38">
        <v>3</v>
      </c>
      <c r="AT4" s="18">
        <f>IF(AS4&lt;&gt;"",AS4-$B$1,"")</f>
        <v>-1</v>
      </c>
      <c r="AU4" s="13">
        <f>IF(AS4&lt;&gt;"",AR4+AT4,"")</f>
        <v>4</v>
      </c>
      <c r="AV4" s="38">
        <v>1</v>
      </c>
      <c r="AW4" s="18">
        <f>IF(AV4&lt;&gt;"",AV4-$B$1,"")</f>
        <v>-3</v>
      </c>
      <c r="AX4" s="13">
        <f>IF(AV4&lt;&gt;"",AU4+AW4,"")</f>
        <v>1</v>
      </c>
      <c r="AY4" s="38">
        <v>3</v>
      </c>
      <c r="AZ4" s="18">
        <f>IF(AY4&lt;&gt;"",AY4-$B$1,"")</f>
        <v>-1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1</v>
      </c>
      <c r="I5" s="16">
        <v>5</v>
      </c>
      <c r="J5" s="2">
        <f t="shared" ref="J5:J9" si="4">IF(I5&lt;&gt;"",I5-$B$1,"")</f>
        <v>1</v>
      </c>
      <c r="K5" s="13">
        <f t="shared" ref="K5:K9" si="5">IF(I5&lt;&gt;"",H5+J5,"")</f>
        <v>2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3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2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1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0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0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1</v>
      </c>
      <c r="AD5" s="16">
        <v>5</v>
      </c>
      <c r="AE5" s="2">
        <f t="shared" ref="AE5:AE9" si="18">IF(AD5&lt;&gt;"",AD5-$B$1,"")</f>
        <v>1</v>
      </c>
      <c r="AF5" s="13">
        <f t="shared" ref="AF5:AF9" si="19">IF(AD5&lt;&gt;"",AC5+AE5,"")</f>
        <v>2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2</v>
      </c>
      <c r="AJ5" s="16">
        <v>4</v>
      </c>
      <c r="AK5" s="2">
        <f t="shared" ref="AK5:AK9" si="22">IF(AJ5&lt;&gt;"",AJ5-$B$1,"")</f>
        <v>0</v>
      </c>
      <c r="AL5" s="13">
        <f t="shared" ref="AL5:AL9" si="23">IF(AJ5&lt;&gt;"",AI5+AK5,"")</f>
        <v>2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3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2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2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2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2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5</v>
      </c>
      <c r="D6" s="2">
        <f t="shared" si="0"/>
        <v>1</v>
      </c>
      <c r="E6" s="13">
        <f t="shared" si="1"/>
        <v>1</v>
      </c>
      <c r="F6" s="6">
        <v>7.0000999999999998</v>
      </c>
      <c r="G6" s="2">
        <f t="shared" si="2"/>
        <v>3.0000999999999998</v>
      </c>
      <c r="H6" s="13">
        <f t="shared" si="3"/>
        <v>4.0000999999999998</v>
      </c>
      <c r="I6" s="16">
        <v>4</v>
      </c>
      <c r="J6" s="2">
        <f t="shared" si="4"/>
        <v>0</v>
      </c>
      <c r="K6" s="13">
        <f t="shared" si="5"/>
        <v>4.0000999999999998</v>
      </c>
      <c r="L6" s="16">
        <v>6</v>
      </c>
      <c r="M6" s="2">
        <f t="shared" si="6"/>
        <v>2</v>
      </c>
      <c r="N6" s="13">
        <f t="shared" si="7"/>
        <v>6.0000999999999998</v>
      </c>
      <c r="O6" s="16">
        <v>3</v>
      </c>
      <c r="P6" s="2">
        <f t="shared" si="8"/>
        <v>-1</v>
      </c>
      <c r="Q6" s="13">
        <f t="shared" si="9"/>
        <v>5.0000999999999998</v>
      </c>
      <c r="R6" s="16">
        <v>5</v>
      </c>
      <c r="S6" s="2">
        <f t="shared" si="10"/>
        <v>1</v>
      </c>
      <c r="T6" s="13">
        <f t="shared" si="11"/>
        <v>6.0000999999999998</v>
      </c>
      <c r="U6" s="16">
        <v>3</v>
      </c>
      <c r="V6" s="2">
        <f t="shared" si="12"/>
        <v>-1</v>
      </c>
      <c r="W6" s="13">
        <f t="shared" si="13"/>
        <v>5.0000999999999998</v>
      </c>
      <c r="X6" s="16">
        <v>4</v>
      </c>
      <c r="Y6" s="2">
        <f t="shared" si="14"/>
        <v>0</v>
      </c>
      <c r="Z6" s="13">
        <f t="shared" si="15"/>
        <v>5.0000999999999998</v>
      </c>
      <c r="AA6" s="16">
        <v>5</v>
      </c>
      <c r="AB6" s="2">
        <f t="shared" si="16"/>
        <v>1</v>
      </c>
      <c r="AC6" s="13">
        <f t="shared" si="17"/>
        <v>6.0000999999999998</v>
      </c>
      <c r="AD6" s="16">
        <v>3</v>
      </c>
      <c r="AE6" s="2">
        <f t="shared" si="18"/>
        <v>-1</v>
      </c>
      <c r="AF6" s="13">
        <f t="shared" si="19"/>
        <v>5.0000999999999998</v>
      </c>
      <c r="AG6" s="16">
        <v>4</v>
      </c>
      <c r="AH6" s="2">
        <f t="shared" si="20"/>
        <v>0</v>
      </c>
      <c r="AI6" s="13">
        <f t="shared" si="21"/>
        <v>5.0000999999999998</v>
      </c>
      <c r="AJ6" s="16">
        <v>6</v>
      </c>
      <c r="AK6" s="2">
        <f t="shared" si="22"/>
        <v>2</v>
      </c>
      <c r="AL6" s="13">
        <f t="shared" si="23"/>
        <v>7.0000999999999998</v>
      </c>
      <c r="AM6" s="16">
        <v>5</v>
      </c>
      <c r="AN6" s="2">
        <f t="shared" si="24"/>
        <v>1</v>
      </c>
      <c r="AO6" s="13">
        <f t="shared" si="25"/>
        <v>8.0000999999999998</v>
      </c>
      <c r="AP6" s="16">
        <v>5</v>
      </c>
      <c r="AQ6" s="2">
        <f t="shared" si="26"/>
        <v>1</v>
      </c>
      <c r="AR6" s="13">
        <f>IF(AP6&lt;&gt;"",AO6+AQ6,"")</f>
        <v>9.0000999999999998</v>
      </c>
      <c r="AS6" s="16">
        <v>3</v>
      </c>
      <c r="AT6" s="2">
        <f t="shared" si="28"/>
        <v>-1</v>
      </c>
      <c r="AU6" s="13">
        <f t="shared" ref="AU6:AU9" si="35">IF(AS6&lt;&gt;"",AR6+AT6,"")</f>
        <v>8.0000999999999998</v>
      </c>
      <c r="AV6" s="16">
        <v>2</v>
      </c>
      <c r="AW6" s="2">
        <f t="shared" si="29"/>
        <v>-2</v>
      </c>
      <c r="AX6" s="13">
        <f t="shared" si="30"/>
        <v>6.0000999999999998</v>
      </c>
      <c r="AY6" s="16">
        <v>5</v>
      </c>
      <c r="AZ6" s="2">
        <f t="shared" si="31"/>
        <v>1</v>
      </c>
      <c r="BA6" s="13">
        <f t="shared" si="32"/>
        <v>7.0000999999999998</v>
      </c>
      <c r="BB6" s="16">
        <v>5</v>
      </c>
      <c r="BC6" s="2">
        <f t="shared" si="33"/>
        <v>1</v>
      </c>
      <c r="BD6" s="13">
        <f t="shared" si="34"/>
        <v>8.0000999999999998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4</v>
      </c>
      <c r="V7" s="2">
        <f t="shared" si="12"/>
        <v>0</v>
      </c>
      <c r="W7" s="13">
        <f t="shared" si="13"/>
        <v>-3</v>
      </c>
      <c r="X7" s="16">
        <v>5</v>
      </c>
      <c r="Y7" s="2">
        <f t="shared" si="14"/>
        <v>1</v>
      </c>
      <c r="Z7" s="13">
        <f t="shared" si="15"/>
        <v>-2</v>
      </c>
      <c r="AA7" s="16">
        <v>5</v>
      </c>
      <c r="AB7" s="2">
        <f t="shared" si="16"/>
        <v>1</v>
      </c>
      <c r="AC7" s="13">
        <f t="shared" si="17"/>
        <v>-1</v>
      </c>
      <c r="AD7" s="16">
        <v>4</v>
      </c>
      <c r="AE7" s="2">
        <f>IF(AD7&lt;&gt;"",AD7-$B$1,"")</f>
        <v>0</v>
      </c>
      <c r="AF7" s="13">
        <f>IF(AD7&lt;&gt;"",AC7+AE7,"")</f>
        <v>-1</v>
      </c>
      <c r="AG7" s="16">
        <v>3</v>
      </c>
      <c r="AH7" s="2">
        <f t="shared" si="20"/>
        <v>-1</v>
      </c>
      <c r="AI7" s="13">
        <f t="shared" si="21"/>
        <v>-2</v>
      </c>
      <c r="AJ7" s="16">
        <v>4</v>
      </c>
      <c r="AK7" s="2">
        <f t="shared" si="22"/>
        <v>0</v>
      </c>
      <c r="AL7" s="13">
        <f t="shared" si="23"/>
        <v>-2</v>
      </c>
      <c r="AM7" s="16">
        <v>5</v>
      </c>
      <c r="AN7" s="2">
        <f t="shared" si="24"/>
        <v>1</v>
      </c>
      <c r="AO7" s="13">
        <f t="shared" si="25"/>
        <v>-1</v>
      </c>
      <c r="AP7" s="16">
        <v>3</v>
      </c>
      <c r="AQ7" s="2">
        <f t="shared" si="26"/>
        <v>-1</v>
      </c>
      <c r="AR7" s="13">
        <f t="shared" si="27"/>
        <v>-2</v>
      </c>
      <c r="AS7" s="16">
        <v>3</v>
      </c>
      <c r="AT7" s="2">
        <f t="shared" si="28"/>
        <v>-1</v>
      </c>
      <c r="AU7" s="13">
        <f>IF(AS7&lt;&gt;"",AR7+AT7,"")</f>
        <v>-3</v>
      </c>
      <c r="AV7" s="16">
        <v>3</v>
      </c>
      <c r="AW7" s="2">
        <f t="shared" si="29"/>
        <v>-1</v>
      </c>
      <c r="AX7" s="13">
        <f t="shared" si="30"/>
        <v>-4</v>
      </c>
      <c r="AY7" s="16">
        <v>3</v>
      </c>
      <c r="AZ7" s="2">
        <f t="shared" si="31"/>
        <v>-1</v>
      </c>
      <c r="BA7" s="13">
        <f t="shared" si="32"/>
        <v>-5</v>
      </c>
      <c r="BB7" s="16">
        <v>3</v>
      </c>
      <c r="BC7" s="2">
        <f t="shared" si="33"/>
        <v>-1</v>
      </c>
      <c r="BD7" s="13">
        <f t="shared" si="34"/>
        <v>-6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4</v>
      </c>
      <c r="J8" s="2">
        <f t="shared" si="4"/>
        <v>0</v>
      </c>
      <c r="K8" s="13">
        <f t="shared" si="5"/>
        <v>-1</v>
      </c>
      <c r="L8" s="16">
        <v>4</v>
      </c>
      <c r="M8" s="2">
        <f t="shared" si="6"/>
        <v>0</v>
      </c>
      <c r="N8" s="13">
        <f t="shared" si="7"/>
        <v>-1</v>
      </c>
      <c r="O8" s="16">
        <v>6</v>
      </c>
      <c r="P8" s="2">
        <f t="shared" si="8"/>
        <v>2</v>
      </c>
      <c r="Q8" s="13">
        <f t="shared" si="9"/>
        <v>1</v>
      </c>
      <c r="R8" s="16">
        <v>5</v>
      </c>
      <c r="S8" s="2">
        <f t="shared" si="10"/>
        <v>1</v>
      </c>
      <c r="T8" s="13">
        <f t="shared" si="11"/>
        <v>2</v>
      </c>
      <c r="U8" s="16">
        <v>4</v>
      </c>
      <c r="V8" s="2">
        <f t="shared" si="12"/>
        <v>0</v>
      </c>
      <c r="W8" s="13">
        <f t="shared" si="13"/>
        <v>2</v>
      </c>
      <c r="X8" s="16">
        <v>4</v>
      </c>
      <c r="Y8" s="2">
        <f t="shared" si="14"/>
        <v>0</v>
      </c>
      <c r="Z8" s="13">
        <f t="shared" si="15"/>
        <v>2</v>
      </c>
      <c r="AA8" s="8">
        <v>6.9999000000000002</v>
      </c>
      <c r="AB8" s="2">
        <f t="shared" si="16"/>
        <v>2.9999000000000002</v>
      </c>
      <c r="AC8" s="13">
        <f t="shared" si="17"/>
        <v>4.9999000000000002</v>
      </c>
      <c r="AD8" s="16">
        <v>3</v>
      </c>
      <c r="AE8" s="2">
        <f t="shared" si="18"/>
        <v>-1</v>
      </c>
      <c r="AF8" s="13">
        <f t="shared" si="19"/>
        <v>3.9999000000000002</v>
      </c>
      <c r="AG8" s="16">
        <v>3</v>
      </c>
      <c r="AH8" s="2">
        <f t="shared" si="20"/>
        <v>-1</v>
      </c>
      <c r="AI8" s="13">
        <f t="shared" si="21"/>
        <v>2.9999000000000002</v>
      </c>
      <c r="AJ8" s="16">
        <v>5</v>
      </c>
      <c r="AK8" s="2">
        <f t="shared" si="22"/>
        <v>1</v>
      </c>
      <c r="AL8" s="13">
        <f t="shared" si="23"/>
        <v>3.9999000000000002</v>
      </c>
      <c r="AM8" s="16">
        <v>5</v>
      </c>
      <c r="AN8" s="2">
        <f t="shared" si="24"/>
        <v>1</v>
      </c>
      <c r="AO8" s="13">
        <f t="shared" si="25"/>
        <v>4.9999000000000002</v>
      </c>
      <c r="AP8" s="6">
        <v>7.0000999999999998</v>
      </c>
      <c r="AQ8" s="2">
        <f t="shared" si="26"/>
        <v>3.0000999999999998</v>
      </c>
      <c r="AR8" s="13">
        <f t="shared" si="27"/>
        <v>8</v>
      </c>
      <c r="AS8" s="16">
        <v>4</v>
      </c>
      <c r="AT8" s="2">
        <f t="shared" si="28"/>
        <v>0</v>
      </c>
      <c r="AU8" s="13">
        <f t="shared" si="35"/>
        <v>8</v>
      </c>
      <c r="AV8" s="16">
        <v>4</v>
      </c>
      <c r="AW8" s="2">
        <f t="shared" si="29"/>
        <v>0</v>
      </c>
      <c r="AX8" s="13">
        <f t="shared" si="30"/>
        <v>8</v>
      </c>
      <c r="AY8" s="6">
        <v>7.0000999999999998</v>
      </c>
      <c r="AZ8" s="2">
        <f t="shared" si="31"/>
        <v>3.0000999999999998</v>
      </c>
      <c r="BA8" s="13">
        <f t="shared" si="32"/>
        <v>11.0001</v>
      </c>
      <c r="BB8" s="16">
        <v>5</v>
      </c>
      <c r="BC8" s="2">
        <f t="shared" si="33"/>
        <v>1</v>
      </c>
      <c r="BD8" s="13">
        <f t="shared" si="34"/>
        <v>12.0001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3</v>
      </c>
      <c r="G9" s="2">
        <f t="shared" si="2"/>
        <v>-1</v>
      </c>
      <c r="H9" s="13">
        <f t="shared" si="3"/>
        <v>-1</v>
      </c>
      <c r="I9" s="16">
        <v>4</v>
      </c>
      <c r="J9" s="2">
        <f t="shared" si="4"/>
        <v>0</v>
      </c>
      <c r="K9" s="13">
        <f t="shared" si="5"/>
        <v>-1</v>
      </c>
      <c r="L9" s="16">
        <v>5</v>
      </c>
      <c r="M9" s="2">
        <f t="shared" si="6"/>
        <v>1</v>
      </c>
      <c r="N9" s="13">
        <f t="shared" si="7"/>
        <v>0</v>
      </c>
      <c r="O9" s="16">
        <v>3</v>
      </c>
      <c r="P9" s="2">
        <f t="shared" si="8"/>
        <v>-1</v>
      </c>
      <c r="Q9" s="13">
        <f t="shared" si="9"/>
        <v>-1</v>
      </c>
      <c r="R9" s="16">
        <v>4</v>
      </c>
      <c r="S9" s="2">
        <f t="shared" si="10"/>
        <v>0</v>
      </c>
      <c r="T9" s="13">
        <f t="shared" si="11"/>
        <v>-1</v>
      </c>
      <c r="U9" s="16">
        <v>3</v>
      </c>
      <c r="V9" s="2">
        <f t="shared" si="12"/>
        <v>-1</v>
      </c>
      <c r="W9" s="13">
        <f t="shared" si="13"/>
        <v>-2</v>
      </c>
      <c r="X9" s="16">
        <v>4</v>
      </c>
      <c r="Y9" s="2">
        <f t="shared" si="14"/>
        <v>0</v>
      </c>
      <c r="Z9" s="13">
        <f t="shared" si="15"/>
        <v>-2</v>
      </c>
      <c r="AA9" s="16">
        <v>5</v>
      </c>
      <c r="AB9" s="2">
        <f t="shared" si="16"/>
        <v>1</v>
      </c>
      <c r="AC9" s="13">
        <f t="shared" si="17"/>
        <v>-1</v>
      </c>
      <c r="AD9" s="16">
        <v>4</v>
      </c>
      <c r="AE9" s="2">
        <f t="shared" si="18"/>
        <v>0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6</v>
      </c>
      <c r="AN9" s="2">
        <f t="shared" si="24"/>
        <v>2</v>
      </c>
      <c r="AO9" s="13">
        <f t="shared" si="25"/>
        <v>1</v>
      </c>
      <c r="AP9" s="6">
        <v>7.0000999999999998</v>
      </c>
      <c r="AQ9" s="2">
        <f t="shared" si="26"/>
        <v>3.0000999999999998</v>
      </c>
      <c r="AR9" s="13">
        <f t="shared" si="27"/>
        <v>4.0000999999999998</v>
      </c>
      <c r="AS9" s="16">
        <v>4</v>
      </c>
      <c r="AT9" s="2">
        <f t="shared" si="28"/>
        <v>0</v>
      </c>
      <c r="AU9" s="13">
        <f t="shared" si="35"/>
        <v>4.0000999999999998</v>
      </c>
      <c r="AV9" s="16">
        <v>4</v>
      </c>
      <c r="AW9" s="2">
        <f t="shared" si="29"/>
        <v>0</v>
      </c>
      <c r="AX9" s="13">
        <f t="shared" si="30"/>
        <v>4.0000999999999998</v>
      </c>
      <c r="AY9" s="16">
        <v>3</v>
      </c>
      <c r="AZ9" s="2">
        <f t="shared" si="31"/>
        <v>-1</v>
      </c>
      <c r="BA9" s="13">
        <f t="shared" si="32"/>
        <v>3.0000999999999998</v>
      </c>
      <c r="BB9" s="16">
        <v>5</v>
      </c>
      <c r="BC9" s="2">
        <f t="shared" si="33"/>
        <v>1</v>
      </c>
      <c r="BD9" s="13">
        <f t="shared" si="34"/>
        <v>4.0000999999999998</v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4.333333333333333</v>
      </c>
      <c r="D13" s="3"/>
      <c r="E13" s="3"/>
      <c r="F13" s="3">
        <f>IF(COUNT(F4:F11)&gt;0,AVERAGE(F4:F11),"")</f>
        <v>4.5000166666666663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4.833333333333333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4</v>
      </c>
      <c r="S13" s="3"/>
      <c r="T13" s="3"/>
      <c r="U13" s="3">
        <f>IF(COUNT(U4:U11)&gt;0,AVERAGE(U4:U11),"")</f>
        <v>3.1666666666666665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5.3333166666666667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4.833333333333333</v>
      </c>
      <c r="AK13" s="3"/>
      <c r="AL13" s="3"/>
      <c r="AM13" s="3">
        <f>IF(COUNT(AM4:AM11)&gt;0,AVERAGE(AM4:AM11),"")</f>
        <v>5</v>
      </c>
      <c r="AN13" s="18"/>
      <c r="AO13" s="18"/>
      <c r="AP13" s="3">
        <f>IF(COUNT(AP4:AP11)&gt;0,AVERAGE(AP4:AP11),"")</f>
        <v>5.0000333333333336</v>
      </c>
      <c r="AQ13" s="18"/>
      <c r="AR13" s="18"/>
      <c r="AS13" s="3">
        <f>IF(COUNT(AS4:AS11)&gt;0,AVERAGE(AS4:AS11),"")</f>
        <v>3.3333333333333335</v>
      </c>
      <c r="AT13" s="18"/>
      <c r="AU13" s="18"/>
      <c r="AV13" s="3">
        <f>IF(COUNT(AV4:AV11)&gt;0,AVERAGE(AV4:AV11),"")</f>
        <v>3</v>
      </c>
      <c r="AW13" s="18"/>
      <c r="AX13" s="18"/>
      <c r="AY13" s="3">
        <f>IF(COUNT(AY4:AY11)&gt;0,AVERAGE(AY4:AY11),"")</f>
        <v>4.1666833333333333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E97D-D467-4F96-BA73-CA8C69D1EEFF}">
  <sheetPr codeName="Sheet12"/>
  <dimension ref="A1:BR60"/>
  <sheetViews>
    <sheetView zoomScale="96" zoomScaleNormal="96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45128</v>
      </c>
      <c r="D1" s="53"/>
      <c r="E1" s="54"/>
      <c r="F1" s="52">
        <f>C1+1</f>
        <v>45129</v>
      </c>
      <c r="G1" s="53"/>
      <c r="H1" s="54"/>
      <c r="I1" s="52">
        <f>F1+1</f>
        <v>45130</v>
      </c>
      <c r="J1" s="53"/>
      <c r="K1" s="54"/>
      <c r="L1" s="52">
        <f>I1+1</f>
        <v>45131</v>
      </c>
      <c r="M1" s="53"/>
      <c r="N1" s="54"/>
      <c r="O1" s="52">
        <f>L1+1</f>
        <v>45132</v>
      </c>
      <c r="P1" s="53"/>
      <c r="Q1" s="54"/>
      <c r="R1" s="52">
        <f>O1+1</f>
        <v>45133</v>
      </c>
      <c r="S1" s="53"/>
      <c r="T1" s="54"/>
      <c r="U1" s="52">
        <f>R1+1</f>
        <v>45134</v>
      </c>
      <c r="V1" s="53"/>
      <c r="W1" s="54"/>
      <c r="X1" s="52">
        <f>U1+1</f>
        <v>45135</v>
      </c>
      <c r="Y1" s="53"/>
      <c r="Z1" s="54"/>
      <c r="AA1" s="52">
        <f>X1+1</f>
        <v>45136</v>
      </c>
      <c r="AB1" s="53"/>
      <c r="AC1" s="54"/>
      <c r="AD1" s="52">
        <f>AA1+1</f>
        <v>45137</v>
      </c>
      <c r="AE1" s="53"/>
      <c r="AF1" s="54"/>
      <c r="AG1" s="52">
        <f>AD1+1</f>
        <v>45138</v>
      </c>
      <c r="AH1" s="53"/>
      <c r="AI1" s="54"/>
      <c r="AJ1" s="52">
        <f>AG1+1</f>
        <v>45139</v>
      </c>
      <c r="AK1" s="53"/>
      <c r="AL1" s="54"/>
      <c r="AM1" s="52">
        <f>AJ1+1</f>
        <v>45140</v>
      </c>
      <c r="AN1" s="53"/>
      <c r="AO1" s="54"/>
      <c r="AP1" s="52">
        <f>AM1+1</f>
        <v>45141</v>
      </c>
      <c r="AQ1" s="53"/>
      <c r="AR1" s="54"/>
      <c r="AS1" s="52">
        <f>AP1+1</f>
        <v>45142</v>
      </c>
      <c r="AT1" s="53"/>
      <c r="AU1" s="54"/>
      <c r="AV1" s="52">
        <f>AS1+1</f>
        <v>45143</v>
      </c>
      <c r="AW1" s="53"/>
      <c r="AX1" s="54"/>
      <c r="AY1" s="52">
        <f>AV1+1</f>
        <v>45144</v>
      </c>
      <c r="AZ1" s="53"/>
      <c r="BA1" s="54"/>
      <c r="BB1" s="52">
        <f>AY1+1</f>
        <v>45145</v>
      </c>
      <c r="BC1" s="53"/>
      <c r="BD1" s="54"/>
    </row>
    <row r="2" spans="1:70" x14ac:dyDescent="0.25">
      <c r="B2" s="9" t="s">
        <v>1</v>
      </c>
      <c r="C2" s="49">
        <v>762</v>
      </c>
      <c r="D2" s="50"/>
      <c r="E2" s="51"/>
      <c r="F2" s="49">
        <f>C2+1</f>
        <v>763</v>
      </c>
      <c r="G2" s="50"/>
      <c r="H2" s="51"/>
      <c r="I2" s="49">
        <f>F2+1</f>
        <v>764</v>
      </c>
      <c r="J2" s="50"/>
      <c r="K2" s="51"/>
      <c r="L2" s="49">
        <f>I2+1</f>
        <v>765</v>
      </c>
      <c r="M2" s="50"/>
      <c r="N2" s="51"/>
      <c r="O2" s="49">
        <f>L2+1</f>
        <v>766</v>
      </c>
      <c r="P2" s="50"/>
      <c r="Q2" s="51"/>
      <c r="R2" s="49">
        <f>O2+1</f>
        <v>767</v>
      </c>
      <c r="S2" s="50"/>
      <c r="T2" s="51"/>
      <c r="U2" s="49">
        <f>R2+1</f>
        <v>768</v>
      </c>
      <c r="V2" s="50"/>
      <c r="W2" s="51"/>
      <c r="X2" s="49">
        <f>U2+1</f>
        <v>769</v>
      </c>
      <c r="Y2" s="50"/>
      <c r="Z2" s="51"/>
      <c r="AA2" s="49">
        <f>X2+1</f>
        <v>770</v>
      </c>
      <c r="AB2" s="50"/>
      <c r="AC2" s="51"/>
      <c r="AD2" s="49">
        <f>AA2+1</f>
        <v>771</v>
      </c>
      <c r="AE2" s="50"/>
      <c r="AF2" s="51"/>
      <c r="AG2" s="49">
        <f>AD2+1</f>
        <v>772</v>
      </c>
      <c r="AH2" s="50"/>
      <c r="AI2" s="51"/>
      <c r="AJ2" s="49">
        <f>AG2+1</f>
        <v>773</v>
      </c>
      <c r="AK2" s="50"/>
      <c r="AL2" s="51"/>
      <c r="AM2" s="49">
        <f>AJ2+1</f>
        <v>774</v>
      </c>
      <c r="AN2" s="50"/>
      <c r="AO2" s="51"/>
      <c r="AP2" s="49">
        <f>AM2+1</f>
        <v>775</v>
      </c>
      <c r="AQ2" s="50"/>
      <c r="AR2" s="51"/>
      <c r="AS2" s="49">
        <f>AP2+1</f>
        <v>776</v>
      </c>
      <c r="AT2" s="50"/>
      <c r="AU2" s="51"/>
      <c r="AV2" s="49">
        <f>AS2+1</f>
        <v>777</v>
      </c>
      <c r="AW2" s="50"/>
      <c r="AX2" s="51"/>
      <c r="AY2" s="49">
        <f>AV2+1</f>
        <v>778</v>
      </c>
      <c r="AZ2" s="50"/>
      <c r="BA2" s="51"/>
      <c r="BB2" s="49">
        <f>AY2+1</f>
        <v>779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8">
        <v>6.9999000000000002</v>
      </c>
      <c r="G4" s="18">
        <f>IF(F4&lt;&gt;"",F4-$B$1,"")</f>
        <v>2.9999000000000002</v>
      </c>
      <c r="H4" s="13">
        <f>IF(F4&lt;&gt;"",E4+G4,"")</f>
        <v>2.9999000000000002</v>
      </c>
      <c r="I4" s="16">
        <v>3</v>
      </c>
      <c r="J4" s="18">
        <f>IF(I4&lt;&gt;"",I4-$B$1,"")</f>
        <v>-1</v>
      </c>
      <c r="K4" s="13">
        <f>IF(I4&lt;&gt;"",H4+J4,"")</f>
        <v>1.9999000000000002</v>
      </c>
      <c r="L4" s="38">
        <v>5</v>
      </c>
      <c r="M4" s="18">
        <f>IF(L4&lt;&gt;"",L4-$B$1,"")</f>
        <v>1</v>
      </c>
      <c r="N4" s="13">
        <f>IF(L4&lt;&gt;"",K4+M4,"")</f>
        <v>2.9999000000000002</v>
      </c>
      <c r="O4" s="38">
        <v>4</v>
      </c>
      <c r="P4" s="18">
        <f>IF(O4&lt;&gt;"",O4-$B$1,"")</f>
        <v>0</v>
      </c>
      <c r="Q4" s="13">
        <f>IF(O4&lt;&gt;"",N4+P4,"")</f>
        <v>2.9999000000000002</v>
      </c>
      <c r="R4" s="38">
        <v>2</v>
      </c>
      <c r="S4" s="18">
        <f>IF(R4&lt;&gt;"",R4-$B$1,"")</f>
        <v>-2</v>
      </c>
      <c r="T4" s="13">
        <f>IF(R4&lt;&gt;"",Q4+S4,"")</f>
        <v>0.99990000000000023</v>
      </c>
      <c r="U4" s="38">
        <v>3</v>
      </c>
      <c r="V4" s="18">
        <f>IF(U4&lt;&gt;"",U4-$B$1,"")</f>
        <v>-1</v>
      </c>
      <c r="W4" s="13">
        <f>IF(U4&lt;&gt;"",T4+V4,"")</f>
        <v>-9.9999999999766942E-5</v>
      </c>
      <c r="X4" s="38">
        <v>3</v>
      </c>
      <c r="Y4" s="18">
        <f>IF(X4&lt;&gt;"",X4-$B$1,"")</f>
        <v>-1</v>
      </c>
      <c r="Z4" s="13">
        <f>IF(X4&lt;&gt;"",W4+Y4,"")</f>
        <v>-1.0000999999999998</v>
      </c>
      <c r="AA4" s="38">
        <v>5</v>
      </c>
      <c r="AB4" s="18">
        <f>IF(AA4&lt;&gt;"",AA4-$B$1,"")</f>
        <v>1</v>
      </c>
      <c r="AC4" s="13">
        <f>IF(AA4&lt;&gt;"",Z4+AB4,"")</f>
        <v>-9.9999999999766942E-5</v>
      </c>
      <c r="AD4" s="38">
        <v>4</v>
      </c>
      <c r="AE4" s="18">
        <f>IF(AD4&lt;&gt;"",AD4-$B$1,"")</f>
        <v>0</v>
      </c>
      <c r="AF4" s="13">
        <f>IF(AD4&lt;&gt;"",AC4+AE4,"")</f>
        <v>-9.9999999999766942E-5</v>
      </c>
      <c r="AG4" s="38">
        <v>4</v>
      </c>
      <c r="AH4" s="18">
        <f>IF(AG4&lt;&gt;"",AG4-$B$1,"")</f>
        <v>0</v>
      </c>
      <c r="AI4" s="13">
        <f>IF(AG4&lt;&gt;"",AF4+AH4,"")</f>
        <v>-9.9999999999766942E-5</v>
      </c>
      <c r="AJ4" s="38">
        <v>2</v>
      </c>
      <c r="AK4" s="18">
        <f>IF(AJ4&lt;&gt;"",AJ4-$B$1,"")</f>
        <v>-2</v>
      </c>
      <c r="AL4" s="13">
        <f>IF(AJ4&lt;&gt;"",AI4+AK4,"")</f>
        <v>-2.0000999999999998</v>
      </c>
      <c r="AM4" s="38">
        <v>4</v>
      </c>
      <c r="AN4" s="18">
        <f>IF(AM4&lt;&gt;"",AM4-$B$1,"")</f>
        <v>0</v>
      </c>
      <c r="AO4" s="13">
        <f>IF(AM4&lt;&gt;"",AL4+AN4,"")</f>
        <v>-2.0000999999999998</v>
      </c>
      <c r="AP4" s="38">
        <v>3</v>
      </c>
      <c r="AQ4" s="18">
        <f>IF(AP4&lt;&gt;"",AP4-$B$1,"")</f>
        <v>-1</v>
      </c>
      <c r="AR4" s="13">
        <f>IF(AP4&lt;&gt;"",AO4+AQ4,"")</f>
        <v>-3.0000999999999998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0</v>
      </c>
      <c r="AV4" s="38">
        <v>3</v>
      </c>
      <c r="AW4" s="18">
        <f>IF(AV4&lt;&gt;"",AV4-$B$1,"")</f>
        <v>-1</v>
      </c>
      <c r="AX4" s="13">
        <f>IF(AV4&lt;&gt;"",AU4+AW4,"")</f>
        <v>-1</v>
      </c>
      <c r="AY4" s="6">
        <v>7.0000999999999998</v>
      </c>
      <c r="AZ4" s="18">
        <f>IF(AY4&lt;&gt;"",AY4-$B$1,"")</f>
        <v>3.0000999999999998</v>
      </c>
      <c r="BA4" s="13">
        <f>IF(AY4&lt;&gt;"",AX4+AZ4,"")</f>
        <v>2.0000999999999998</v>
      </c>
      <c r="BB4" s="38">
        <v>4</v>
      </c>
      <c r="BC4" s="18">
        <f>IF(BB4&lt;&gt;"",BB4-$B$1,"")</f>
        <v>0</v>
      </c>
      <c r="BD4" s="13">
        <f>IF(BB4&lt;&gt;"",BA4+BC4,"")</f>
        <v>2.0000999999999998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6</v>
      </c>
      <c r="G5" s="2">
        <f t="shared" ref="G5:G9" si="2">IF(F5&lt;&gt;"",F5-$B$1,"")</f>
        <v>2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1</v>
      </c>
      <c r="R5" s="16">
        <v>4</v>
      </c>
      <c r="S5" s="2">
        <f t="shared" ref="S5:S9" si="10">IF(R5&lt;&gt;"",R5-$B$1,"")</f>
        <v>0</v>
      </c>
      <c r="T5" s="13">
        <f t="shared" ref="T5:T9" si="11">IF(R5&lt;&gt;"",Q5+S5,"")</f>
        <v>1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1</v>
      </c>
      <c r="X5" s="16">
        <v>4</v>
      </c>
      <c r="Y5" s="2">
        <f t="shared" ref="Y5:Y10" si="14">IF(X5&lt;&gt;"",X5-$B$1,"")</f>
        <v>0</v>
      </c>
      <c r="Z5" s="13">
        <f t="shared" ref="Z5:Z10" si="15">IF(X5&lt;&gt;"",W5+Y5,"")</f>
        <v>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0</v>
      </c>
      <c r="AJ5" s="16">
        <v>5</v>
      </c>
      <c r="AK5" s="2">
        <f t="shared" ref="AK5:AK9" si="22">IF(AJ5&lt;&gt;"",AJ5-$B$1,"")</f>
        <v>1</v>
      </c>
      <c r="AL5" s="13">
        <f t="shared" ref="AL5:AL9" si="23">IF(AJ5&lt;&gt;"",AI5+AK5,"")</f>
        <v>1</v>
      </c>
      <c r="AM5" s="16">
        <v>6</v>
      </c>
      <c r="AN5" s="2">
        <f t="shared" ref="AN5:AN9" si="24">IF(AM5&lt;&gt;"",AM5-$B$1,"")</f>
        <v>2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8" si="27">IF(AP5&lt;&gt;"",AO5+AQ5,"")</f>
        <v>3</v>
      </c>
      <c r="AS5" s="16">
        <v>4</v>
      </c>
      <c r="AT5" s="2">
        <f t="shared" ref="AT5:AT9" si="28">IF(AS5&lt;&gt;"",AS5-$B$1,"")</f>
        <v>0</v>
      </c>
      <c r="AU5" s="13">
        <f>IF(AS5&lt;&gt;"",AR5+AT5,"")</f>
        <v>3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2</v>
      </c>
      <c r="AY5" s="16">
        <v>5</v>
      </c>
      <c r="AZ5" s="2">
        <f t="shared" ref="AZ5:AZ9" si="31">IF(AY5&lt;&gt;"",AY5-$B$1,"")</f>
        <v>1</v>
      </c>
      <c r="BA5" s="13">
        <f t="shared" ref="BA5:BA9" si="32">IF(AY5&lt;&gt;"",AX5+AZ5,"")</f>
        <v>3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3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6">
        <v>7.0000999999999998</v>
      </c>
      <c r="J6" s="2">
        <f t="shared" si="4"/>
        <v>3.0000999999999998</v>
      </c>
      <c r="K6" s="13">
        <f t="shared" si="5"/>
        <v>3.0000999999999998</v>
      </c>
      <c r="L6" s="16">
        <v>5</v>
      </c>
      <c r="M6" s="2">
        <f t="shared" si="6"/>
        <v>1</v>
      </c>
      <c r="N6" s="13">
        <f t="shared" si="7"/>
        <v>4.0000999999999998</v>
      </c>
      <c r="O6" s="6">
        <v>7.0000999999999998</v>
      </c>
      <c r="P6" s="2">
        <f t="shared" si="8"/>
        <v>3.0000999999999998</v>
      </c>
      <c r="Q6" s="13">
        <f t="shared" si="9"/>
        <v>7.0001999999999995</v>
      </c>
      <c r="R6" s="16">
        <v>4</v>
      </c>
      <c r="S6" s="2">
        <f t="shared" si="10"/>
        <v>0</v>
      </c>
      <c r="T6" s="13">
        <f t="shared" si="11"/>
        <v>7.0001999999999995</v>
      </c>
      <c r="U6" s="6">
        <v>7.0000999999999998</v>
      </c>
      <c r="V6" s="2">
        <f t="shared" si="12"/>
        <v>3.0000999999999998</v>
      </c>
      <c r="W6" s="13">
        <f t="shared" si="13"/>
        <v>10.000299999999999</v>
      </c>
      <c r="X6" s="16">
        <v>2</v>
      </c>
      <c r="Y6" s="2">
        <f t="shared" si="14"/>
        <v>-2</v>
      </c>
      <c r="Z6" s="13">
        <f t="shared" si="15"/>
        <v>8.0002999999999993</v>
      </c>
      <c r="AA6" s="16">
        <v>4</v>
      </c>
      <c r="AB6" s="2">
        <f t="shared" si="16"/>
        <v>0</v>
      </c>
      <c r="AC6" s="13">
        <f t="shared" si="17"/>
        <v>8.0002999999999993</v>
      </c>
      <c r="AD6" s="16">
        <v>3</v>
      </c>
      <c r="AE6" s="2">
        <f t="shared" si="18"/>
        <v>-1</v>
      </c>
      <c r="AF6" s="13">
        <f t="shared" si="19"/>
        <v>7.0002999999999993</v>
      </c>
      <c r="AG6" s="16">
        <v>3</v>
      </c>
      <c r="AH6" s="2">
        <f t="shared" si="20"/>
        <v>-1</v>
      </c>
      <c r="AI6" s="13">
        <f t="shared" si="21"/>
        <v>6.0002999999999993</v>
      </c>
      <c r="AJ6" s="16">
        <v>5</v>
      </c>
      <c r="AK6" s="2">
        <f t="shared" si="22"/>
        <v>1</v>
      </c>
      <c r="AL6" s="13">
        <f t="shared" si="23"/>
        <v>7.0002999999999993</v>
      </c>
      <c r="AM6" s="16">
        <v>5</v>
      </c>
      <c r="AN6" s="2">
        <f t="shared" si="24"/>
        <v>1</v>
      </c>
      <c r="AO6" s="13">
        <f t="shared" si="25"/>
        <v>8.0002999999999993</v>
      </c>
      <c r="AP6" s="16">
        <v>3</v>
      </c>
      <c r="AQ6" s="2">
        <f t="shared" si="26"/>
        <v>-1</v>
      </c>
      <c r="AR6" s="13">
        <f>IF(AP6&lt;&gt;"",AO6+AQ6,"")</f>
        <v>7.0002999999999993</v>
      </c>
      <c r="AS6" s="16">
        <v>3</v>
      </c>
      <c r="AT6" s="2">
        <f t="shared" si="28"/>
        <v>-1</v>
      </c>
      <c r="AU6" s="13">
        <f t="shared" ref="AU6:AU9" si="35">IF(AS6&lt;&gt;"",AR6+AT6,"")</f>
        <v>6.0002999999999993</v>
      </c>
      <c r="AV6" s="16">
        <v>3</v>
      </c>
      <c r="AW6" s="2">
        <f t="shared" si="29"/>
        <v>-1</v>
      </c>
      <c r="AX6" s="13">
        <f t="shared" si="30"/>
        <v>5.0002999999999993</v>
      </c>
      <c r="AY6" s="16">
        <v>4</v>
      </c>
      <c r="AZ6" s="2">
        <f t="shared" si="31"/>
        <v>0</v>
      </c>
      <c r="BA6" s="13">
        <f t="shared" si="32"/>
        <v>5.0002999999999993</v>
      </c>
      <c r="BB6" s="16">
        <v>4</v>
      </c>
      <c r="BC6" s="2">
        <f t="shared" si="33"/>
        <v>0</v>
      </c>
      <c r="BD6" s="13">
        <f t="shared" si="34"/>
        <v>5.0002999999999993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5</v>
      </c>
      <c r="D7" s="2">
        <f t="shared" si="0"/>
        <v>1</v>
      </c>
      <c r="E7" s="13">
        <f t="shared" si="1"/>
        <v>1</v>
      </c>
      <c r="F7" s="16">
        <v>5</v>
      </c>
      <c r="G7" s="2">
        <f t="shared" si="2"/>
        <v>1</v>
      </c>
      <c r="H7" s="13">
        <f t="shared" si="3"/>
        <v>2</v>
      </c>
      <c r="I7" s="16">
        <v>4</v>
      </c>
      <c r="J7" s="2">
        <f t="shared" si="4"/>
        <v>0</v>
      </c>
      <c r="K7" s="13">
        <f t="shared" si="5"/>
        <v>2</v>
      </c>
      <c r="L7" s="16">
        <v>4</v>
      </c>
      <c r="M7" s="2">
        <f t="shared" si="6"/>
        <v>0</v>
      </c>
      <c r="N7" s="13">
        <f t="shared" si="7"/>
        <v>2</v>
      </c>
      <c r="O7" s="16">
        <v>6</v>
      </c>
      <c r="P7" s="2">
        <f t="shared" si="8"/>
        <v>2</v>
      </c>
      <c r="Q7" s="13">
        <f t="shared" si="9"/>
        <v>4</v>
      </c>
      <c r="R7" s="16">
        <v>4</v>
      </c>
      <c r="S7" s="2">
        <f t="shared" si="10"/>
        <v>0</v>
      </c>
      <c r="T7" s="13">
        <f t="shared" si="11"/>
        <v>4</v>
      </c>
      <c r="U7" s="16">
        <v>4</v>
      </c>
      <c r="V7" s="2">
        <f t="shared" si="12"/>
        <v>0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2</v>
      </c>
      <c r="AE7" s="2">
        <f t="shared" si="18"/>
        <v>-2</v>
      </c>
      <c r="AF7" s="13">
        <f t="shared" si="19"/>
        <v>3</v>
      </c>
      <c r="AG7" s="16">
        <v>5</v>
      </c>
      <c r="AH7" s="2">
        <f t="shared" si="20"/>
        <v>1</v>
      </c>
      <c r="AI7" s="13">
        <f t="shared" si="21"/>
        <v>4</v>
      </c>
      <c r="AJ7" s="16">
        <v>5</v>
      </c>
      <c r="AK7" s="2">
        <f t="shared" si="22"/>
        <v>1</v>
      </c>
      <c r="AL7" s="13">
        <f t="shared" si="23"/>
        <v>5</v>
      </c>
      <c r="AM7" s="16">
        <v>5</v>
      </c>
      <c r="AN7" s="2">
        <f t="shared" si="24"/>
        <v>1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35"/>
        <v>7</v>
      </c>
      <c r="AV7" s="16">
        <v>4</v>
      </c>
      <c r="AW7" s="2">
        <f t="shared" si="29"/>
        <v>0</v>
      </c>
      <c r="AX7" s="13">
        <f t="shared" si="30"/>
        <v>7</v>
      </c>
      <c r="AY7" s="16">
        <v>4</v>
      </c>
      <c r="AZ7" s="2">
        <f t="shared" si="31"/>
        <v>0</v>
      </c>
      <c r="BA7" s="13">
        <f t="shared" si="32"/>
        <v>7</v>
      </c>
      <c r="BB7" s="16">
        <v>6</v>
      </c>
      <c r="BC7" s="2">
        <f t="shared" si="33"/>
        <v>2</v>
      </c>
      <c r="BD7" s="13">
        <f t="shared" si="34"/>
        <v>9</v>
      </c>
      <c r="BH7" s="42"/>
      <c r="BI7">
        <v>5</v>
      </c>
      <c r="BJ7" s="37"/>
      <c r="BK7" s="37"/>
      <c r="BL7" s="41"/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8">
        <v>6.9999000000000002</v>
      </c>
      <c r="G8" s="2">
        <f t="shared" si="2"/>
        <v>2.9999000000000002</v>
      </c>
      <c r="H8" s="13">
        <f t="shared" si="3"/>
        <v>2.9999000000000002</v>
      </c>
      <c r="I8" s="16">
        <v>3</v>
      </c>
      <c r="J8" s="2">
        <f t="shared" si="4"/>
        <v>-1</v>
      </c>
      <c r="K8" s="13">
        <f t="shared" si="5"/>
        <v>1.9999000000000002</v>
      </c>
      <c r="L8" s="8">
        <v>6.9999000000000002</v>
      </c>
      <c r="M8" s="2">
        <f t="shared" si="6"/>
        <v>2.9999000000000002</v>
      </c>
      <c r="N8" s="13">
        <f t="shared" si="7"/>
        <v>4.9998000000000005</v>
      </c>
      <c r="O8" s="16">
        <v>3</v>
      </c>
      <c r="P8" s="2">
        <f t="shared" si="8"/>
        <v>-1</v>
      </c>
      <c r="Q8" s="13">
        <f t="shared" si="9"/>
        <v>3.9998000000000005</v>
      </c>
      <c r="R8" s="16">
        <v>3</v>
      </c>
      <c r="S8" s="2">
        <f t="shared" si="10"/>
        <v>-1</v>
      </c>
      <c r="T8" s="13">
        <f t="shared" si="11"/>
        <v>2.9998000000000005</v>
      </c>
      <c r="U8" s="16">
        <v>4</v>
      </c>
      <c r="V8" s="2">
        <f t="shared" si="12"/>
        <v>0</v>
      </c>
      <c r="W8" s="13">
        <f t="shared" si="13"/>
        <v>2.9998000000000005</v>
      </c>
      <c r="X8" s="16">
        <v>4</v>
      </c>
      <c r="Y8" s="2">
        <f t="shared" si="14"/>
        <v>0</v>
      </c>
      <c r="Z8" s="13">
        <f t="shared" si="15"/>
        <v>2.9998000000000005</v>
      </c>
      <c r="AA8" s="16">
        <v>4</v>
      </c>
      <c r="AB8" s="2">
        <f t="shared" si="16"/>
        <v>0</v>
      </c>
      <c r="AC8" s="13">
        <f t="shared" si="17"/>
        <v>2.9998000000000005</v>
      </c>
      <c r="AD8" s="16">
        <v>3</v>
      </c>
      <c r="AE8" s="2">
        <f t="shared" si="18"/>
        <v>-1</v>
      </c>
      <c r="AF8" s="13">
        <f t="shared" si="19"/>
        <v>1.9998000000000005</v>
      </c>
      <c r="AG8" s="16">
        <v>3</v>
      </c>
      <c r="AH8" s="2">
        <f t="shared" si="20"/>
        <v>-1</v>
      </c>
      <c r="AI8" s="13">
        <f t="shared" si="21"/>
        <v>0.99980000000000047</v>
      </c>
      <c r="AJ8" s="16">
        <v>4</v>
      </c>
      <c r="AK8" s="2">
        <f t="shared" si="22"/>
        <v>0</v>
      </c>
      <c r="AL8" s="13">
        <f t="shared" si="23"/>
        <v>0.99980000000000047</v>
      </c>
      <c r="AM8" s="16">
        <v>5</v>
      </c>
      <c r="AN8" s="2">
        <f t="shared" si="24"/>
        <v>1</v>
      </c>
      <c r="AO8" s="13">
        <f t="shared" si="25"/>
        <v>1.9998000000000005</v>
      </c>
      <c r="AP8" s="16">
        <v>3</v>
      </c>
      <c r="AQ8" s="2">
        <f t="shared" si="26"/>
        <v>-1</v>
      </c>
      <c r="AR8" s="13">
        <f t="shared" si="27"/>
        <v>0.99980000000000047</v>
      </c>
      <c r="AS8" s="16">
        <v>3</v>
      </c>
      <c r="AT8" s="2">
        <f t="shared" si="28"/>
        <v>-1</v>
      </c>
      <c r="AU8" s="13">
        <f t="shared" si="35"/>
        <v>-1.9999999999953388E-4</v>
      </c>
      <c r="AV8" s="16">
        <v>4</v>
      </c>
      <c r="AW8" s="2">
        <f t="shared" si="29"/>
        <v>0</v>
      </c>
      <c r="AX8" s="13">
        <f t="shared" si="30"/>
        <v>-1.9999999999953388E-4</v>
      </c>
      <c r="AY8" s="16">
        <v>6</v>
      </c>
      <c r="AZ8" s="2">
        <f t="shared" si="31"/>
        <v>2</v>
      </c>
      <c r="BA8" s="13">
        <f t="shared" si="32"/>
        <v>1.9998000000000005</v>
      </c>
      <c r="BB8" s="16">
        <v>3</v>
      </c>
      <c r="BC8" s="2">
        <f t="shared" si="33"/>
        <v>-1</v>
      </c>
      <c r="BD8" s="13">
        <f t="shared" si="34"/>
        <v>0.99980000000000047</v>
      </c>
      <c r="BH8" s="42"/>
      <c r="BI8">
        <v>6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4</v>
      </c>
      <c r="P9" s="2">
        <f t="shared" si="8"/>
        <v>0</v>
      </c>
      <c r="Q9" s="13">
        <f t="shared" si="9"/>
        <v>3</v>
      </c>
      <c r="R9" s="16">
        <v>4</v>
      </c>
      <c r="S9" s="2">
        <f t="shared" si="10"/>
        <v>0</v>
      </c>
      <c r="T9" s="13">
        <f t="shared" si="11"/>
        <v>3</v>
      </c>
      <c r="U9" s="16">
        <v>2</v>
      </c>
      <c r="V9" s="2">
        <f t="shared" si="12"/>
        <v>-2</v>
      </c>
      <c r="W9" s="13">
        <f t="shared" si="13"/>
        <v>1</v>
      </c>
      <c r="X9" s="16">
        <v>4</v>
      </c>
      <c r="Y9" s="2">
        <f t="shared" si="14"/>
        <v>0</v>
      </c>
      <c r="Z9" s="13">
        <f t="shared" si="15"/>
        <v>1</v>
      </c>
      <c r="AA9" s="16">
        <v>4</v>
      </c>
      <c r="AB9" s="2">
        <f t="shared" si="16"/>
        <v>0</v>
      </c>
      <c r="AC9" s="13">
        <f t="shared" si="17"/>
        <v>1</v>
      </c>
      <c r="AD9" s="16">
        <v>3</v>
      </c>
      <c r="AE9" s="2">
        <f t="shared" si="18"/>
        <v>-1</v>
      </c>
      <c r="AF9" s="13">
        <f t="shared" si="19"/>
        <v>0</v>
      </c>
      <c r="AG9" s="16">
        <v>3</v>
      </c>
      <c r="AH9" s="2">
        <f t="shared" si="20"/>
        <v>-1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4</v>
      </c>
      <c r="AN9" s="2">
        <f t="shared" si="24"/>
        <v>0</v>
      </c>
      <c r="AO9" s="13">
        <f t="shared" si="25"/>
        <v>-1</v>
      </c>
      <c r="AP9" s="16">
        <v>4</v>
      </c>
      <c r="AQ9" s="2">
        <f t="shared" si="26"/>
        <v>0</v>
      </c>
      <c r="AR9" s="13">
        <f>IF(AP9&lt;&gt;"",AO9+AQ9,"")</f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15</v>
      </c>
      <c r="BG9" t="s">
        <v>16</v>
      </c>
      <c r="BH9" s="42"/>
      <c r="BI9">
        <v>7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16">
        <v>3</v>
      </c>
      <c r="Y10" s="2">
        <f t="shared" si="14"/>
        <v>-1</v>
      </c>
      <c r="Z10" s="13">
        <f t="shared" si="15"/>
        <v>-1</v>
      </c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</v>
      </c>
      <c r="D13" s="3"/>
      <c r="E13" s="3"/>
      <c r="F13" s="3">
        <f>IF(COUNT(F4:F11)&gt;0,AVERAGE(F4:F11),"")</f>
        <v>5.8333000000000004</v>
      </c>
      <c r="G13" s="3"/>
      <c r="H13" s="3"/>
      <c r="I13" s="3">
        <f>IF(COUNT(I4:I11)&gt;0,AVERAGE(I4:I11),"")</f>
        <v>4.0000166666666663</v>
      </c>
      <c r="J13" s="3"/>
      <c r="K13" s="3"/>
      <c r="L13" s="3">
        <f>IF(COUNT(L4:L11)&gt;0,AVERAGE(L4:L11),"")</f>
        <v>5.1666499999999997</v>
      </c>
      <c r="M13" s="3"/>
      <c r="N13" s="3"/>
      <c r="O13" s="3">
        <f>IF(COUNT(O4:O11)&gt;0,AVERAGE(O4:O11),"")</f>
        <v>4.6666833333333333</v>
      </c>
      <c r="P13" s="3"/>
      <c r="Q13" s="3"/>
      <c r="R13" s="3">
        <f>IF(COUNT(R4:R11)&gt;0,AVERAGE(R4:R11),"")</f>
        <v>3.5</v>
      </c>
      <c r="S13" s="3"/>
      <c r="T13" s="3"/>
      <c r="U13" s="3">
        <f>IF(COUNT(U4:U11)&gt;0,AVERAGE(U4:U11),"")</f>
        <v>4.0000166666666663</v>
      </c>
      <c r="V13" s="3"/>
      <c r="W13" s="3"/>
      <c r="X13" s="3">
        <f>IF(COUNT(X4:X11)&gt;0,AVERAGE(X4:X11),"")</f>
        <v>3.5714285714285716</v>
      </c>
      <c r="Y13" s="3"/>
      <c r="Z13" s="3"/>
      <c r="AA13" s="3">
        <f>IF(COUNT(AA4:AA11)&gt;0,AVERAGE(AA4:AA11),"")</f>
        <v>4.166666666666667</v>
      </c>
      <c r="AB13" s="3"/>
      <c r="AC13" s="3"/>
      <c r="AD13" s="3">
        <f>IF(COUNT(AD4:AD11)&gt;0,AVERAGE(AD4:AD11),"")</f>
        <v>3.1666666666666665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4.166666666666667</v>
      </c>
      <c r="AK13" s="3"/>
      <c r="AL13" s="3"/>
      <c r="AM13" s="3">
        <f>IF(COUNT(AM4:AM11)&gt;0,AVERAGE(AM4:AM11),"")</f>
        <v>4.833333333333333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4.1666833333333333</v>
      </c>
      <c r="AT13" s="18"/>
      <c r="AU13" s="18"/>
      <c r="AV13" s="3">
        <f>IF(COUNT(AV4:AV11)&gt;0,AVERAGE(AV4:AV11),"")</f>
        <v>3.5</v>
      </c>
      <c r="AW13" s="18"/>
      <c r="AX13" s="18"/>
      <c r="AY13" s="3">
        <f>IF(COUNT(AY4:AY11)&gt;0,AVERAGE(AY4:AY11),"")</f>
        <v>5.0000166666666663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B154-2AB9-49A0-9BD6-A220CE50E387}">
  <sheetPr codeName="Sheet13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1" sqref="R11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45107</v>
      </c>
      <c r="D1" s="53"/>
      <c r="E1" s="54"/>
      <c r="F1" s="52">
        <f>C1+1</f>
        <v>45108</v>
      </c>
      <c r="G1" s="53"/>
      <c r="H1" s="54"/>
      <c r="I1" s="52">
        <f>F1+1</f>
        <v>45109</v>
      </c>
      <c r="J1" s="53"/>
      <c r="K1" s="54"/>
      <c r="L1" s="52">
        <f>I1+1</f>
        <v>45110</v>
      </c>
      <c r="M1" s="53"/>
      <c r="N1" s="54"/>
      <c r="O1" s="52">
        <f>L1+1</f>
        <v>45111</v>
      </c>
      <c r="P1" s="53"/>
      <c r="Q1" s="54"/>
      <c r="R1" s="52">
        <f>O1+1</f>
        <v>45112</v>
      </c>
      <c r="S1" s="53"/>
      <c r="T1" s="54"/>
      <c r="U1" s="52">
        <f>R1+1</f>
        <v>45113</v>
      </c>
      <c r="V1" s="53"/>
      <c r="W1" s="54"/>
      <c r="X1" s="52">
        <f>U1+1</f>
        <v>45114</v>
      </c>
      <c r="Y1" s="53"/>
      <c r="Z1" s="54"/>
      <c r="AA1" s="52">
        <f>X1+1</f>
        <v>45115</v>
      </c>
      <c r="AB1" s="53"/>
      <c r="AC1" s="54"/>
      <c r="AD1" s="52">
        <f>AA1+1</f>
        <v>45116</v>
      </c>
      <c r="AE1" s="53"/>
      <c r="AF1" s="54"/>
      <c r="AG1" s="52">
        <f>AD1+1</f>
        <v>45117</v>
      </c>
      <c r="AH1" s="53"/>
      <c r="AI1" s="54"/>
      <c r="AJ1" s="52">
        <f>AG1+1</f>
        <v>45118</v>
      </c>
      <c r="AK1" s="53"/>
      <c r="AL1" s="54"/>
      <c r="AM1" s="52">
        <f>AJ1+1</f>
        <v>45119</v>
      </c>
      <c r="AN1" s="53"/>
      <c r="AO1" s="54"/>
      <c r="AP1" s="52">
        <f>AM1+1</f>
        <v>45120</v>
      </c>
      <c r="AQ1" s="53"/>
      <c r="AR1" s="54"/>
      <c r="AS1" s="52">
        <f>AP1+1</f>
        <v>45121</v>
      </c>
      <c r="AT1" s="53"/>
      <c r="AU1" s="54"/>
      <c r="AV1" s="52">
        <f>AS1+1</f>
        <v>45122</v>
      </c>
      <c r="AW1" s="53"/>
      <c r="AX1" s="54"/>
      <c r="AY1" s="52">
        <f>AV1+1</f>
        <v>45123</v>
      </c>
      <c r="AZ1" s="53"/>
      <c r="BA1" s="54"/>
      <c r="BB1" s="52">
        <f>AY1+1</f>
        <v>45124</v>
      </c>
      <c r="BC1" s="53"/>
      <c r="BD1" s="54"/>
    </row>
    <row r="2" spans="1:70" x14ac:dyDescent="0.25">
      <c r="B2" s="9" t="s">
        <v>1</v>
      </c>
      <c r="C2" s="49">
        <v>741</v>
      </c>
      <c r="D2" s="50"/>
      <c r="E2" s="51"/>
      <c r="F2" s="49">
        <f>C2+1</f>
        <v>742</v>
      </c>
      <c r="G2" s="50"/>
      <c r="H2" s="51"/>
      <c r="I2" s="49">
        <f>F2+1</f>
        <v>743</v>
      </c>
      <c r="J2" s="50"/>
      <c r="K2" s="51"/>
      <c r="L2" s="49">
        <f>I2+1</f>
        <v>744</v>
      </c>
      <c r="M2" s="50"/>
      <c r="N2" s="51"/>
      <c r="O2" s="49">
        <f>L2+1</f>
        <v>745</v>
      </c>
      <c r="P2" s="50"/>
      <c r="Q2" s="51"/>
      <c r="R2" s="49">
        <f>O2+1</f>
        <v>746</v>
      </c>
      <c r="S2" s="50"/>
      <c r="T2" s="51"/>
      <c r="U2" s="49">
        <f>R2+1</f>
        <v>747</v>
      </c>
      <c r="V2" s="50"/>
      <c r="W2" s="51"/>
      <c r="X2" s="49">
        <f>U2+1</f>
        <v>748</v>
      </c>
      <c r="Y2" s="50"/>
      <c r="Z2" s="51"/>
      <c r="AA2" s="49">
        <f>X2+1</f>
        <v>749</v>
      </c>
      <c r="AB2" s="50"/>
      <c r="AC2" s="51"/>
      <c r="AD2" s="49">
        <f>AA2+1</f>
        <v>750</v>
      </c>
      <c r="AE2" s="50"/>
      <c r="AF2" s="51"/>
      <c r="AG2" s="49">
        <f>AD2+1</f>
        <v>751</v>
      </c>
      <c r="AH2" s="50"/>
      <c r="AI2" s="51"/>
      <c r="AJ2" s="49">
        <f>AG2+1</f>
        <v>752</v>
      </c>
      <c r="AK2" s="50"/>
      <c r="AL2" s="51"/>
      <c r="AM2" s="49">
        <f>AJ2+1</f>
        <v>753</v>
      </c>
      <c r="AN2" s="50"/>
      <c r="AO2" s="51"/>
      <c r="AP2" s="49">
        <f>AM2+1</f>
        <v>754</v>
      </c>
      <c r="AQ2" s="50"/>
      <c r="AR2" s="51"/>
      <c r="AS2" s="49">
        <f>AP2+1</f>
        <v>755</v>
      </c>
      <c r="AT2" s="50"/>
      <c r="AU2" s="51"/>
      <c r="AV2" s="49">
        <f>AS2+1</f>
        <v>756</v>
      </c>
      <c r="AW2" s="50"/>
      <c r="AX2" s="51"/>
      <c r="AY2" s="49">
        <f>AV2+1</f>
        <v>757</v>
      </c>
      <c r="AZ2" s="50"/>
      <c r="BA2" s="51"/>
      <c r="BB2" s="49">
        <f>AY2+1</f>
        <v>758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38">
        <v>4</v>
      </c>
      <c r="G4" s="18">
        <f>IF(F4&lt;&gt;"",F4-$B$1,"")</f>
        <v>0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4</v>
      </c>
      <c r="M4" s="18">
        <f>IF(L4&lt;&gt;"",L4-$B$1,"")</f>
        <v>0</v>
      </c>
      <c r="N4" s="13">
        <f>IF(L4&lt;&gt;"",K4+M4,"")</f>
        <v>-1</v>
      </c>
      <c r="O4" s="38">
        <v>3</v>
      </c>
      <c r="P4" s="18">
        <f>IF(O4&lt;&gt;"",O4-$B$1,"")</f>
        <v>-1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6">
        <v>7.0000999999999998</v>
      </c>
      <c r="V4" s="18">
        <f>IF(U4&lt;&gt;"",U4-$B$1,"")</f>
        <v>3.0000999999999998</v>
      </c>
      <c r="W4" s="13">
        <f>IF(U4&lt;&gt;"",T4+V4,"")</f>
        <v>4.0001999999999995</v>
      </c>
      <c r="X4" s="38">
        <v>3</v>
      </c>
      <c r="Y4" s="18">
        <f>IF(X4&lt;&gt;"",X4-$B$1,"")</f>
        <v>-1</v>
      </c>
      <c r="Z4" s="13">
        <f>IF(X4&lt;&gt;"",W4+Y4,"")</f>
        <v>3.0001999999999995</v>
      </c>
      <c r="AA4" s="6">
        <v>7.0000999999999998</v>
      </c>
      <c r="AB4" s="18">
        <f>IF(AA4&lt;&gt;"",AA4-$B$1,"")</f>
        <v>3.0000999999999998</v>
      </c>
      <c r="AC4" s="13">
        <f>IF(AA4&lt;&gt;"",Z4+AB4,"")</f>
        <v>6.0002999999999993</v>
      </c>
      <c r="AD4" s="38">
        <v>4</v>
      </c>
      <c r="AE4" s="18">
        <f>IF(AD4&lt;&gt;"",AD4-$B$1,"")</f>
        <v>0</v>
      </c>
      <c r="AF4" s="13">
        <f>IF(AD4&lt;&gt;"",AC4+AE4,"")</f>
        <v>6.0002999999999993</v>
      </c>
      <c r="AG4" s="38">
        <v>4</v>
      </c>
      <c r="AH4" s="18">
        <f>IF(AG4&lt;&gt;"",AG4-$B$1,"")</f>
        <v>0</v>
      </c>
      <c r="AI4" s="13">
        <f>IF(AG4&lt;&gt;"",AF4+AH4,"")</f>
        <v>6.0002999999999993</v>
      </c>
      <c r="AJ4" s="38">
        <v>3</v>
      </c>
      <c r="AK4" s="18">
        <f>IF(AJ4&lt;&gt;"",AJ4-$B$1,"")</f>
        <v>-1</v>
      </c>
      <c r="AL4" s="13">
        <f>IF(AJ4&lt;&gt;"",AI4+AK4,"")</f>
        <v>5.0002999999999993</v>
      </c>
      <c r="AM4" s="38">
        <v>2</v>
      </c>
      <c r="AN4" s="18">
        <f>IF(AM4&lt;&gt;"",AM4-$B$1,"")</f>
        <v>-2</v>
      </c>
      <c r="AO4" s="13">
        <f>IF(AM4&lt;&gt;"",AL4+AN4,"")</f>
        <v>3.0002999999999993</v>
      </c>
      <c r="AP4" s="38">
        <v>4</v>
      </c>
      <c r="AQ4" s="18">
        <f>IF(AP4&lt;&gt;"",AP4-$B$1,"")</f>
        <v>0</v>
      </c>
      <c r="AR4" s="13">
        <f>IF(AP4&lt;&gt;"",AO4+AQ4,"")</f>
        <v>3.0002999999999993</v>
      </c>
      <c r="AS4" s="38">
        <v>2</v>
      </c>
      <c r="AT4" s="18">
        <f>IF(AS4&lt;&gt;"",AS4-$B$1,"")</f>
        <v>-2</v>
      </c>
      <c r="AU4" s="13">
        <f>IF(AS4&lt;&gt;"",AR4+AT4,"")</f>
        <v>1.0002999999999993</v>
      </c>
      <c r="AV4" s="38">
        <v>4</v>
      </c>
      <c r="AW4" s="18">
        <f>IF(AV4&lt;&gt;"",AV4-$B$1,"")</f>
        <v>0</v>
      </c>
      <c r="AX4" s="13">
        <f>IF(AV4&lt;&gt;"",AU4+AW4,"")</f>
        <v>1.0002999999999993</v>
      </c>
      <c r="AY4" s="38">
        <v>3</v>
      </c>
      <c r="AZ4" s="18">
        <f>IF(AY4&lt;&gt;"",AY4-$B$1,"")</f>
        <v>-1</v>
      </c>
      <c r="BA4" s="13">
        <f>IF(AY4&lt;&gt;"",AX4+AZ4,"")</f>
        <v>2.9999999999930083E-4</v>
      </c>
      <c r="BB4" s="38">
        <v>4</v>
      </c>
      <c r="BC4" s="18">
        <f>IF(BB4&lt;&gt;"",BB4-$B$1,"")</f>
        <v>0</v>
      </c>
      <c r="BD4" s="13">
        <f>IF(BB4&lt;&gt;"",BA4+BC4,"")</f>
        <v>2.9999999999930083E-4</v>
      </c>
      <c r="BF4" t="s">
        <v>7</v>
      </c>
      <c r="BG4" t="s">
        <v>8</v>
      </c>
      <c r="BH4" s="42"/>
      <c r="BI4" s="13">
        <v>2.9999999999930083E-4</v>
      </c>
      <c r="BJ4" s="37" t="s">
        <v>23</v>
      </c>
      <c r="BK4" s="37" t="s">
        <v>24</v>
      </c>
      <c r="BL4" s="41">
        <v>-5</v>
      </c>
      <c r="BR4" s="40"/>
    </row>
    <row r="5" spans="1:70" x14ac:dyDescent="0.25">
      <c r="A5" t="s">
        <v>9</v>
      </c>
      <c r="B5" t="s">
        <v>10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6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6">
        <v>4</v>
      </c>
      <c r="J5" s="2">
        <f t="shared" ref="J5:J17" si="4">IF(I5&lt;&gt;"",I5-$B$1,"")</f>
        <v>0</v>
      </c>
      <c r="K5" s="13">
        <f t="shared" ref="K5:K17" si="5">IF(I5&lt;&gt;"",H5+J5,"")</f>
        <v>0</v>
      </c>
      <c r="L5" s="16">
        <v>4</v>
      </c>
      <c r="M5" s="2">
        <f t="shared" ref="M5:M17" si="6">IF(L5&lt;&gt;"",L5-$B$1,"")</f>
        <v>0</v>
      </c>
      <c r="N5" s="13">
        <f t="shared" ref="N5:N17" si="7">IF(L5&lt;&gt;"",K5+M5,"")</f>
        <v>0</v>
      </c>
      <c r="O5" s="16">
        <v>3</v>
      </c>
      <c r="P5" s="2">
        <f t="shared" ref="P5:P17" si="8">IF(O5&lt;&gt;"",O5-$B$1,"")</f>
        <v>-1</v>
      </c>
      <c r="Q5" s="13">
        <f t="shared" ref="Q5:Q17" si="9">IF(O5&lt;&gt;"",N5+P5,"")</f>
        <v>-1</v>
      </c>
      <c r="R5" s="16">
        <v>5</v>
      </c>
      <c r="S5" s="2">
        <f t="shared" ref="S5:S17" si="10">IF(R5&lt;&gt;"",R5-$B$1,"")</f>
        <v>1</v>
      </c>
      <c r="T5" s="13">
        <f t="shared" ref="T5:T17" si="11">IF(R5&lt;&gt;"",Q5+S5,"")</f>
        <v>0</v>
      </c>
      <c r="U5" s="6">
        <v>7.0000999999999998</v>
      </c>
      <c r="V5" s="2">
        <f t="shared" ref="V5:V17" si="12">IF(U5&lt;&gt;"",U5-$B$1,"")</f>
        <v>3.0000999999999998</v>
      </c>
      <c r="W5" s="13">
        <f t="shared" ref="W5:W17" si="13">IF(U5&lt;&gt;"",T5+V5,"")</f>
        <v>3.0000999999999998</v>
      </c>
      <c r="X5" s="16">
        <v>3</v>
      </c>
      <c r="Y5" s="2">
        <f t="shared" ref="Y5:Y17" si="14">IF(X5&lt;&gt;"",X5-$B$1,"")</f>
        <v>-1</v>
      </c>
      <c r="Z5" s="13">
        <f t="shared" ref="Z5:Z17" si="15">IF(X5&lt;&gt;"",W5+Y5,"")</f>
        <v>2.0000999999999998</v>
      </c>
      <c r="AA5" s="16">
        <v>4</v>
      </c>
      <c r="AB5" s="2">
        <f t="shared" ref="AB5:AB17" si="16">IF(AA5&lt;&gt;"",AA5-$B$1,"")</f>
        <v>0</v>
      </c>
      <c r="AC5" s="13">
        <f t="shared" ref="AC5:AC17" si="17">IF(AA5&lt;&gt;"",Z5+AB5,"")</f>
        <v>2.0000999999999998</v>
      </c>
      <c r="AD5" s="16">
        <v>5</v>
      </c>
      <c r="AE5" s="2">
        <f t="shared" ref="AE5:AE17" si="18">IF(AD5&lt;&gt;"",AD5-$B$1,"")</f>
        <v>1</v>
      </c>
      <c r="AF5" s="13">
        <f t="shared" ref="AF5:AF16" si="19">IF(AD5&lt;&gt;"",AC5+AE5,"")</f>
        <v>3.0000999999999998</v>
      </c>
      <c r="AG5" s="6">
        <v>7.0000999999999998</v>
      </c>
      <c r="AH5" s="2">
        <f t="shared" ref="AH5:AH17" si="20">IF(AG5&lt;&gt;"",AG5-$B$1,"")</f>
        <v>3.0000999999999998</v>
      </c>
      <c r="AI5" s="13">
        <f t="shared" ref="AI5:AI17" si="21">IF(AG5&lt;&gt;"",AF5+AH5,"")</f>
        <v>6.0001999999999995</v>
      </c>
      <c r="AJ5" s="16">
        <v>3</v>
      </c>
      <c r="AK5" s="2">
        <f t="shared" ref="AK5:AK17" si="22">IF(AJ5&lt;&gt;"",AJ5-$B$1,"")</f>
        <v>-1</v>
      </c>
      <c r="AL5" s="13">
        <f t="shared" ref="AL5:AL17" si="23">IF(AJ5&lt;&gt;"",AI5+AK5,"")</f>
        <v>5.0001999999999995</v>
      </c>
      <c r="AM5" s="16">
        <v>4</v>
      </c>
      <c r="AN5" s="2">
        <f t="shared" ref="AN5:AN17" si="24">IF(AM5&lt;&gt;"",AM5-$B$1,"")</f>
        <v>0</v>
      </c>
      <c r="AO5" s="13">
        <f t="shared" ref="AO5:AO17" si="25">IF(AM5&lt;&gt;"",AL5+AN5,"")</f>
        <v>5.0001999999999995</v>
      </c>
      <c r="AP5" s="6">
        <v>7.0000999999999998</v>
      </c>
      <c r="AQ5" s="2">
        <f t="shared" ref="AQ5:AQ17" si="26">IF(AP5&lt;&gt;"",AP5-$B$1,"")</f>
        <v>3.0000999999999998</v>
      </c>
      <c r="AR5" s="13">
        <f t="shared" ref="AR5:AR16" si="27">IF(AP5&lt;&gt;"",AO5+AQ5,"")</f>
        <v>8.0002999999999993</v>
      </c>
      <c r="AS5" s="16">
        <v>2</v>
      </c>
      <c r="AT5" s="2">
        <f t="shared" ref="AT5:AT16" si="28">IF(AS5&lt;&gt;"",AS5-$B$1,"")</f>
        <v>-2</v>
      </c>
      <c r="AU5" s="13">
        <f>IF(AS5&lt;&gt;"",AR5+AT5,"")</f>
        <v>6.0002999999999993</v>
      </c>
      <c r="AV5" s="16">
        <v>4</v>
      </c>
      <c r="AW5" s="2">
        <f t="shared" ref="AW5:AW17" si="29">IF(AV5&lt;&gt;"",AV5-$B$1,"")</f>
        <v>0</v>
      </c>
      <c r="AX5" s="13">
        <f t="shared" ref="AX5:AX17" si="30">IF(AV5&lt;&gt;"",AU5+AW5,"")</f>
        <v>6.0002999999999993</v>
      </c>
      <c r="AY5" s="16">
        <v>4</v>
      </c>
      <c r="AZ5" s="2">
        <f t="shared" ref="AZ5:AZ17" si="31">IF(AY5&lt;&gt;"",AY5-$B$1,"")</f>
        <v>0</v>
      </c>
      <c r="BA5" s="13">
        <f t="shared" ref="BA5:BA17" si="32">IF(AY5&lt;&gt;"",AX5+AZ5,"")</f>
        <v>6.0002999999999993</v>
      </c>
      <c r="BB5" s="16">
        <v>5</v>
      </c>
      <c r="BC5" s="2">
        <f t="shared" ref="BC5:BC17" si="33">IF(BB5&lt;&gt;"",BB5-$B$1,"")</f>
        <v>1</v>
      </c>
      <c r="BD5" s="13">
        <f t="shared" ref="BD5:BD17" si="34">IF(BB5&lt;&gt;"",BA5+BC5,"")</f>
        <v>7.0002999999999993</v>
      </c>
      <c r="BF5" t="s">
        <v>9</v>
      </c>
      <c r="BG5" t="s">
        <v>10</v>
      </c>
      <c r="BH5" s="42"/>
      <c r="BI5" s="13">
        <v>7.0002999999999993</v>
      </c>
      <c r="BJ5" s="37" t="s">
        <v>21</v>
      </c>
      <c r="BK5" s="37" t="s">
        <v>22</v>
      </c>
      <c r="BL5" s="41">
        <v>-3</v>
      </c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4</v>
      </c>
      <c r="J6" s="2">
        <f t="shared" si="4"/>
        <v>0</v>
      </c>
      <c r="K6" s="13">
        <f t="shared" si="5"/>
        <v>0</v>
      </c>
      <c r="L6" s="16">
        <v>5</v>
      </c>
      <c r="M6" s="2">
        <f t="shared" si="6"/>
        <v>1</v>
      </c>
      <c r="N6" s="13">
        <f t="shared" si="7"/>
        <v>1</v>
      </c>
      <c r="O6" s="16">
        <v>3</v>
      </c>
      <c r="P6" s="2">
        <f t="shared" si="8"/>
        <v>-1</v>
      </c>
      <c r="Q6" s="13">
        <f t="shared" si="9"/>
        <v>0</v>
      </c>
      <c r="R6" s="16">
        <v>4</v>
      </c>
      <c r="S6" s="2">
        <f t="shared" si="10"/>
        <v>0</v>
      </c>
      <c r="T6" s="13">
        <f t="shared" si="11"/>
        <v>0</v>
      </c>
      <c r="U6" s="16">
        <v>3</v>
      </c>
      <c r="V6" s="2">
        <f t="shared" si="12"/>
        <v>-1</v>
      </c>
      <c r="W6" s="13">
        <f t="shared" si="13"/>
        <v>-1</v>
      </c>
      <c r="X6" s="16">
        <v>3</v>
      </c>
      <c r="Y6" s="2">
        <f t="shared" si="14"/>
        <v>-1</v>
      </c>
      <c r="Z6" s="13">
        <f t="shared" si="15"/>
        <v>-2</v>
      </c>
      <c r="AA6" s="6">
        <v>7.0000999999999998</v>
      </c>
      <c r="AB6" s="2">
        <f t="shared" si="16"/>
        <v>3.0000999999999998</v>
      </c>
      <c r="AC6" s="13">
        <f t="shared" si="17"/>
        <v>1.0000999999999998</v>
      </c>
      <c r="AD6" s="16">
        <v>3</v>
      </c>
      <c r="AE6" s="2">
        <f t="shared" si="18"/>
        <v>-1</v>
      </c>
      <c r="AF6" s="13">
        <f t="shared" si="19"/>
        <v>9.9999999999766942E-5</v>
      </c>
      <c r="AG6" s="16">
        <v>6</v>
      </c>
      <c r="AH6" s="2">
        <f t="shared" si="20"/>
        <v>2</v>
      </c>
      <c r="AI6" s="13">
        <f t="shared" si="21"/>
        <v>2.0000999999999998</v>
      </c>
      <c r="AJ6" s="16">
        <v>4</v>
      </c>
      <c r="AK6" s="2">
        <f t="shared" si="22"/>
        <v>0</v>
      </c>
      <c r="AL6" s="13">
        <f t="shared" si="23"/>
        <v>2.0000999999999998</v>
      </c>
      <c r="AM6" s="16">
        <v>4</v>
      </c>
      <c r="AN6" s="2">
        <f t="shared" si="24"/>
        <v>0</v>
      </c>
      <c r="AO6" s="13">
        <f t="shared" si="25"/>
        <v>2.0000999999999998</v>
      </c>
      <c r="AP6" s="16">
        <v>4</v>
      </c>
      <c r="AQ6" s="2">
        <f t="shared" si="26"/>
        <v>0</v>
      </c>
      <c r="AR6" s="13">
        <f>IF(AP6&lt;&gt;"",AO6+AQ6,"")</f>
        <v>2.0000999999999998</v>
      </c>
      <c r="AS6" s="16">
        <v>4</v>
      </c>
      <c r="AT6" s="2">
        <f t="shared" si="28"/>
        <v>0</v>
      </c>
      <c r="AU6" s="13">
        <f t="shared" ref="AU6:AU15" si="35">IF(AS6&lt;&gt;"",AR6+AT6,"")</f>
        <v>2.0000999999999998</v>
      </c>
      <c r="AV6" s="16">
        <v>5</v>
      </c>
      <c r="AW6" s="2">
        <f t="shared" si="29"/>
        <v>1</v>
      </c>
      <c r="AX6" s="13">
        <f t="shared" si="30"/>
        <v>3.0000999999999998</v>
      </c>
      <c r="AY6" s="16">
        <v>4</v>
      </c>
      <c r="AZ6" s="2">
        <f t="shared" si="31"/>
        <v>0</v>
      </c>
      <c r="BA6" s="13">
        <f t="shared" si="32"/>
        <v>3.0000999999999998</v>
      </c>
      <c r="BB6" s="16">
        <v>3</v>
      </c>
      <c r="BC6" s="2">
        <f t="shared" si="33"/>
        <v>-1</v>
      </c>
      <c r="BD6" s="13">
        <f t="shared" si="34"/>
        <v>2.0000999999999998</v>
      </c>
      <c r="BF6" t="s">
        <v>11</v>
      </c>
      <c r="BG6" t="s">
        <v>12</v>
      </c>
      <c r="BH6" s="42"/>
      <c r="BI6" s="13">
        <v>2.0000999999999998</v>
      </c>
      <c r="BJ6" s="37" t="s">
        <v>19</v>
      </c>
      <c r="BK6" s="37" t="s">
        <v>20</v>
      </c>
      <c r="BL6" s="41">
        <v>0</v>
      </c>
      <c r="BR6" s="40"/>
    </row>
    <row r="7" spans="1:70" x14ac:dyDescent="0.25">
      <c r="A7" t="s">
        <v>15</v>
      </c>
      <c r="B7" t="s">
        <v>16</v>
      </c>
      <c r="C7" s="16">
        <v>4</v>
      </c>
      <c r="D7" s="2">
        <f t="shared" si="0"/>
        <v>0</v>
      </c>
      <c r="E7" s="13">
        <f t="shared" si="1"/>
        <v>0</v>
      </c>
      <c r="F7" s="16">
        <v>5</v>
      </c>
      <c r="G7" s="2">
        <f t="shared" si="2"/>
        <v>1</v>
      </c>
      <c r="H7" s="13">
        <f t="shared" si="3"/>
        <v>1</v>
      </c>
      <c r="I7" s="16">
        <v>4</v>
      </c>
      <c r="J7" s="2">
        <f t="shared" si="4"/>
        <v>0</v>
      </c>
      <c r="K7" s="13">
        <f t="shared" si="5"/>
        <v>1</v>
      </c>
      <c r="L7" s="16">
        <v>4</v>
      </c>
      <c r="M7" s="2">
        <f t="shared" si="6"/>
        <v>0</v>
      </c>
      <c r="N7" s="13">
        <f t="shared" si="7"/>
        <v>1</v>
      </c>
      <c r="O7" s="16">
        <v>3</v>
      </c>
      <c r="P7" s="2">
        <f t="shared" si="8"/>
        <v>-1</v>
      </c>
      <c r="Q7" s="13">
        <f t="shared" si="9"/>
        <v>0</v>
      </c>
      <c r="R7" s="16">
        <v>5</v>
      </c>
      <c r="S7" s="2">
        <f t="shared" si="10"/>
        <v>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16">
        <v>4</v>
      </c>
      <c r="AE7" s="2">
        <f>IF(AD7&lt;&gt;"",AD7-$B$1,"")</f>
        <v>0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3</v>
      </c>
      <c r="AN7" s="2">
        <f t="shared" si="24"/>
        <v>-1</v>
      </c>
      <c r="AO7" s="13">
        <f t="shared" si="25"/>
        <v>5</v>
      </c>
      <c r="AP7" s="16">
        <v>5</v>
      </c>
      <c r="AQ7" s="2">
        <f t="shared" si="26"/>
        <v>1</v>
      </c>
      <c r="AR7" s="13">
        <f t="shared" si="27"/>
        <v>6</v>
      </c>
      <c r="AS7" s="16">
        <v>4</v>
      </c>
      <c r="AT7" s="2">
        <f t="shared" si="28"/>
        <v>0</v>
      </c>
      <c r="AU7" s="13">
        <f>IF(AS7&lt;&gt;"",AR7+AT7,"")</f>
        <v>6</v>
      </c>
      <c r="AV7" s="16">
        <v>4</v>
      </c>
      <c r="AW7" s="2">
        <f t="shared" si="29"/>
        <v>0</v>
      </c>
      <c r="AX7" s="13">
        <f t="shared" si="30"/>
        <v>6</v>
      </c>
      <c r="AY7" s="6">
        <v>7.0000999999999998</v>
      </c>
      <c r="AZ7" s="2">
        <f t="shared" si="31"/>
        <v>3.0000999999999998</v>
      </c>
      <c r="BA7" s="13">
        <f t="shared" si="32"/>
        <v>9.0000999999999998</v>
      </c>
      <c r="BB7" s="6">
        <v>7.0000999999999998</v>
      </c>
      <c r="BC7" s="2">
        <f t="shared" si="33"/>
        <v>3.0000999999999998</v>
      </c>
      <c r="BD7" s="13">
        <f t="shared" si="34"/>
        <v>12.0002</v>
      </c>
      <c r="BF7" t="s">
        <v>15</v>
      </c>
      <c r="BG7" t="s">
        <v>16</v>
      </c>
      <c r="BH7" s="42"/>
      <c r="BI7" s="13">
        <v>12.0002</v>
      </c>
      <c r="BJ7" s="37" t="s">
        <v>7</v>
      </c>
      <c r="BK7" s="37" t="s">
        <v>8</v>
      </c>
      <c r="BL7" s="41">
        <v>2.9999999999930083E-4</v>
      </c>
      <c r="BR7" s="40"/>
    </row>
    <row r="8" spans="1:70" x14ac:dyDescent="0.25">
      <c r="A8" t="s">
        <v>19</v>
      </c>
      <c r="B8" t="s">
        <v>20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3</v>
      </c>
      <c r="M8" s="2">
        <f t="shared" si="6"/>
        <v>-1</v>
      </c>
      <c r="N8" s="13">
        <f t="shared" si="7"/>
        <v>-2</v>
      </c>
      <c r="O8" s="16">
        <v>6</v>
      </c>
      <c r="P8" s="2">
        <f t="shared" si="8"/>
        <v>2</v>
      </c>
      <c r="Q8" s="13">
        <f t="shared" si="9"/>
        <v>0</v>
      </c>
      <c r="R8" s="16">
        <v>5</v>
      </c>
      <c r="S8" s="2">
        <f t="shared" si="10"/>
        <v>1</v>
      </c>
      <c r="T8" s="13">
        <f t="shared" si="11"/>
        <v>1</v>
      </c>
      <c r="U8" s="16">
        <v>4</v>
      </c>
      <c r="V8" s="2">
        <f t="shared" si="12"/>
        <v>0</v>
      </c>
      <c r="W8" s="13">
        <f t="shared" si="13"/>
        <v>1</v>
      </c>
      <c r="X8" s="16">
        <v>4</v>
      </c>
      <c r="Y8" s="2">
        <f t="shared" si="14"/>
        <v>0</v>
      </c>
      <c r="Z8" s="13">
        <f t="shared" si="15"/>
        <v>1</v>
      </c>
      <c r="AA8" s="16">
        <v>4</v>
      </c>
      <c r="AB8" s="2">
        <f t="shared" si="16"/>
        <v>0</v>
      </c>
      <c r="AC8" s="13">
        <f t="shared" si="17"/>
        <v>1</v>
      </c>
      <c r="AD8" s="16">
        <v>4</v>
      </c>
      <c r="AE8" s="2">
        <f t="shared" si="18"/>
        <v>0</v>
      </c>
      <c r="AF8" s="13">
        <f t="shared" si="19"/>
        <v>1</v>
      </c>
      <c r="AG8" s="16">
        <v>5</v>
      </c>
      <c r="AH8" s="2">
        <f t="shared" si="20"/>
        <v>1</v>
      </c>
      <c r="AI8" s="13">
        <f t="shared" si="21"/>
        <v>2</v>
      </c>
      <c r="AJ8" s="16">
        <v>3</v>
      </c>
      <c r="AK8" s="2">
        <f t="shared" si="22"/>
        <v>-1</v>
      </c>
      <c r="AL8" s="13">
        <f t="shared" si="23"/>
        <v>1</v>
      </c>
      <c r="AM8" s="16">
        <v>4</v>
      </c>
      <c r="AN8" s="2">
        <f t="shared" si="24"/>
        <v>0</v>
      </c>
      <c r="AO8" s="13">
        <f t="shared" si="25"/>
        <v>1</v>
      </c>
      <c r="AP8" s="16">
        <v>3</v>
      </c>
      <c r="AQ8" s="2">
        <f t="shared" si="26"/>
        <v>-1</v>
      </c>
      <c r="AR8" s="13">
        <f t="shared" si="27"/>
        <v>0</v>
      </c>
      <c r="AS8" s="16">
        <v>5</v>
      </c>
      <c r="AT8" s="2">
        <f t="shared" si="28"/>
        <v>1</v>
      </c>
      <c r="AU8" s="13">
        <f t="shared" si="35"/>
        <v>1</v>
      </c>
      <c r="AV8" s="16">
        <v>4</v>
      </c>
      <c r="AW8" s="2">
        <f t="shared" si="29"/>
        <v>0</v>
      </c>
      <c r="AX8" s="13">
        <f t="shared" si="30"/>
        <v>1</v>
      </c>
      <c r="AY8" s="16">
        <v>3</v>
      </c>
      <c r="AZ8" s="2">
        <f t="shared" si="31"/>
        <v>-1</v>
      </c>
      <c r="BA8" s="13">
        <f t="shared" si="32"/>
        <v>0</v>
      </c>
      <c r="BB8" s="16">
        <v>4</v>
      </c>
      <c r="BC8" s="2">
        <f t="shared" si="33"/>
        <v>0</v>
      </c>
      <c r="BD8" s="13">
        <f t="shared" si="34"/>
        <v>0</v>
      </c>
      <c r="BF8" t="s">
        <v>19</v>
      </c>
      <c r="BG8" t="s">
        <v>20</v>
      </c>
      <c r="BH8" s="42"/>
      <c r="BI8" s="13">
        <v>0</v>
      </c>
      <c r="BJ8" s="37" t="s">
        <v>11</v>
      </c>
      <c r="BK8" s="37" t="s">
        <v>12</v>
      </c>
      <c r="BL8" s="41">
        <v>2.0000999999999998</v>
      </c>
      <c r="BR8" s="40"/>
    </row>
    <row r="9" spans="1:70" x14ac:dyDescent="0.25">
      <c r="A9" t="s">
        <v>21</v>
      </c>
      <c r="B9" t="s">
        <v>22</v>
      </c>
      <c r="C9" s="16">
        <v>4</v>
      </c>
      <c r="D9" s="2">
        <f t="shared" si="0"/>
        <v>0</v>
      </c>
      <c r="E9" s="13">
        <f t="shared" si="1"/>
        <v>0</v>
      </c>
      <c r="F9" s="16">
        <v>4</v>
      </c>
      <c r="G9" s="2">
        <f t="shared" si="2"/>
        <v>0</v>
      </c>
      <c r="H9" s="13">
        <f t="shared" si="3"/>
        <v>0</v>
      </c>
      <c r="I9" s="16">
        <v>4</v>
      </c>
      <c r="J9" s="2">
        <f t="shared" si="4"/>
        <v>0</v>
      </c>
      <c r="K9" s="13">
        <f t="shared" si="5"/>
        <v>0</v>
      </c>
      <c r="L9" s="16">
        <v>4</v>
      </c>
      <c r="M9" s="2">
        <f t="shared" si="6"/>
        <v>0</v>
      </c>
      <c r="N9" s="13">
        <f t="shared" si="7"/>
        <v>0</v>
      </c>
      <c r="O9" s="16">
        <v>4</v>
      </c>
      <c r="P9" s="2">
        <f t="shared" si="8"/>
        <v>0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6</v>
      </c>
      <c r="V9" s="2">
        <f t="shared" si="12"/>
        <v>2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4</v>
      </c>
      <c r="AE9" s="2">
        <f t="shared" si="18"/>
        <v>0</v>
      </c>
      <c r="AF9" s="13">
        <f t="shared" si="19"/>
        <v>2</v>
      </c>
      <c r="AG9" s="16">
        <v>4</v>
      </c>
      <c r="AH9" s="2">
        <f t="shared" si="20"/>
        <v>0</v>
      </c>
      <c r="AI9" s="13">
        <f t="shared" si="21"/>
        <v>2</v>
      </c>
      <c r="AJ9" s="16">
        <v>2</v>
      </c>
      <c r="AK9" s="2">
        <f t="shared" si="22"/>
        <v>-2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3</v>
      </c>
      <c r="AZ9" s="2">
        <f t="shared" si="31"/>
        <v>-1</v>
      </c>
      <c r="BA9" s="13">
        <f t="shared" si="32"/>
        <v>-2</v>
      </c>
      <c r="BB9" s="16">
        <v>3</v>
      </c>
      <c r="BC9" s="2">
        <f t="shared" si="33"/>
        <v>-1</v>
      </c>
      <c r="BD9" s="13">
        <f t="shared" si="34"/>
        <v>-3</v>
      </c>
      <c r="BF9" t="s">
        <v>21</v>
      </c>
      <c r="BG9" t="s">
        <v>22</v>
      </c>
      <c r="BH9" s="42"/>
      <c r="BI9" s="13">
        <v>-3</v>
      </c>
      <c r="BJ9" s="37" t="s">
        <v>9</v>
      </c>
      <c r="BK9" s="37" t="s">
        <v>10</v>
      </c>
      <c r="BL9" s="41">
        <v>7.0002999999999993</v>
      </c>
      <c r="BR9" s="40"/>
    </row>
    <row r="10" spans="1:70" x14ac:dyDescent="0.25">
      <c r="A10" t="s">
        <v>23</v>
      </c>
      <c r="B10" t="s">
        <v>24</v>
      </c>
      <c r="C10" s="16">
        <v>5</v>
      </c>
      <c r="D10" s="2">
        <f t="shared" si="0"/>
        <v>1</v>
      </c>
      <c r="E10" s="13">
        <f t="shared" si="1"/>
        <v>1</v>
      </c>
      <c r="F10" s="16">
        <v>4</v>
      </c>
      <c r="G10" s="2">
        <f t="shared" si="2"/>
        <v>0</v>
      </c>
      <c r="H10" s="13">
        <f t="shared" si="3"/>
        <v>1</v>
      </c>
      <c r="I10" s="16">
        <v>4</v>
      </c>
      <c r="J10" s="2">
        <f t="shared" si="4"/>
        <v>0</v>
      </c>
      <c r="K10" s="13">
        <f t="shared" si="5"/>
        <v>1</v>
      </c>
      <c r="L10" s="16">
        <v>3</v>
      </c>
      <c r="M10" s="2">
        <f t="shared" si="6"/>
        <v>-1</v>
      </c>
      <c r="N10" s="13">
        <f t="shared" si="7"/>
        <v>0</v>
      </c>
      <c r="O10" s="16">
        <v>4</v>
      </c>
      <c r="P10" s="2">
        <f t="shared" si="8"/>
        <v>0</v>
      </c>
      <c r="Q10" s="13">
        <f t="shared" si="9"/>
        <v>0</v>
      </c>
      <c r="R10" s="16">
        <v>3</v>
      </c>
      <c r="S10" s="2">
        <f t="shared" si="10"/>
        <v>-1</v>
      </c>
      <c r="T10" s="13">
        <f t="shared" si="11"/>
        <v>-1</v>
      </c>
      <c r="U10" s="16">
        <v>3</v>
      </c>
      <c r="V10" s="2">
        <f t="shared" si="12"/>
        <v>-1</v>
      </c>
      <c r="W10" s="13">
        <f t="shared" si="13"/>
        <v>-2</v>
      </c>
      <c r="X10" s="16">
        <v>3</v>
      </c>
      <c r="Y10" s="2">
        <f t="shared" si="14"/>
        <v>-1</v>
      </c>
      <c r="Z10" s="13">
        <f t="shared" si="15"/>
        <v>-3</v>
      </c>
      <c r="AA10" s="16">
        <v>5</v>
      </c>
      <c r="AB10" s="2">
        <f t="shared" si="16"/>
        <v>1</v>
      </c>
      <c r="AC10" s="13">
        <f t="shared" si="17"/>
        <v>-2</v>
      </c>
      <c r="AD10" s="16">
        <v>4</v>
      </c>
      <c r="AE10" s="2">
        <f t="shared" si="18"/>
        <v>0</v>
      </c>
      <c r="AF10" s="13">
        <f t="shared" si="19"/>
        <v>-2</v>
      </c>
      <c r="AG10" s="16">
        <v>4</v>
      </c>
      <c r="AH10" s="2">
        <f t="shared" si="20"/>
        <v>0</v>
      </c>
      <c r="AI10" s="13">
        <f t="shared" si="21"/>
        <v>-2</v>
      </c>
      <c r="AJ10" s="16">
        <v>3</v>
      </c>
      <c r="AK10" s="2">
        <f t="shared" si="22"/>
        <v>-1</v>
      </c>
      <c r="AL10" s="13">
        <f t="shared" si="23"/>
        <v>-3</v>
      </c>
      <c r="AM10" s="16">
        <v>4</v>
      </c>
      <c r="AN10" s="2">
        <f t="shared" si="24"/>
        <v>0</v>
      </c>
      <c r="AO10" s="13">
        <f t="shared" si="25"/>
        <v>-3</v>
      </c>
      <c r="AP10" s="16">
        <v>4</v>
      </c>
      <c r="AQ10" s="2">
        <f t="shared" si="26"/>
        <v>0</v>
      </c>
      <c r="AR10" s="13">
        <f>IF(AP10&lt;&gt;"",AO10+AQ10,"")</f>
        <v>-3</v>
      </c>
      <c r="AS10" s="16">
        <v>3</v>
      </c>
      <c r="AT10" s="2">
        <f t="shared" si="28"/>
        <v>-1</v>
      </c>
      <c r="AU10" s="13">
        <f t="shared" si="35"/>
        <v>-4</v>
      </c>
      <c r="AV10" s="16">
        <v>4</v>
      </c>
      <c r="AW10" s="2">
        <f t="shared" si="29"/>
        <v>0</v>
      </c>
      <c r="AX10" s="13">
        <f t="shared" si="30"/>
        <v>-4</v>
      </c>
      <c r="AY10" s="16">
        <v>3</v>
      </c>
      <c r="AZ10" s="2">
        <f t="shared" si="31"/>
        <v>-1</v>
      </c>
      <c r="BA10" s="13">
        <f t="shared" si="32"/>
        <v>-5</v>
      </c>
      <c r="BB10" s="16">
        <v>4</v>
      </c>
      <c r="BC10" s="2">
        <f t="shared" si="33"/>
        <v>0</v>
      </c>
      <c r="BD10" s="13">
        <f t="shared" si="34"/>
        <v>-5</v>
      </c>
      <c r="BF10" t="s">
        <v>23</v>
      </c>
      <c r="BG10" t="s">
        <v>24</v>
      </c>
      <c r="BH10" s="42"/>
      <c r="BI10" s="13">
        <v>-5</v>
      </c>
      <c r="BJ10" s="37" t="s">
        <v>15</v>
      </c>
      <c r="BK10" s="37" t="s">
        <v>16</v>
      </c>
      <c r="BL10" s="41">
        <v>12.0002</v>
      </c>
      <c r="BR10" s="40"/>
    </row>
    <row r="11" spans="1:70" x14ac:dyDescent="0.25"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H11" s="42"/>
      <c r="BJ11" s="37"/>
      <c r="BK11" s="37"/>
      <c r="BL11" s="41"/>
      <c r="BR11" s="40"/>
    </row>
    <row r="12" spans="1:70" x14ac:dyDescent="0.25"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H12" s="42"/>
      <c r="BJ12" s="37"/>
      <c r="BK12" s="37"/>
      <c r="BL12" s="41"/>
      <c r="BR12" s="40"/>
    </row>
    <row r="13" spans="1:70" x14ac:dyDescent="0.25"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H13" s="42"/>
      <c r="BJ13" s="37"/>
      <c r="BK13" s="37"/>
      <c r="BL13" s="41"/>
      <c r="BR13" s="40"/>
    </row>
    <row r="14" spans="1:70" x14ac:dyDescent="0.25"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J14" s="37"/>
      <c r="BK14" s="37"/>
      <c r="BL14" s="41"/>
      <c r="BR14" s="40"/>
    </row>
    <row r="15" spans="1:70" x14ac:dyDescent="0.25"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H15" s="42"/>
      <c r="BJ15" s="37"/>
      <c r="BK15" s="37"/>
      <c r="BL15" s="41" t="s">
        <v>28</v>
      </c>
      <c r="BR15" s="40"/>
    </row>
    <row r="16" spans="1:70" x14ac:dyDescent="0.25"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H16" s="42"/>
      <c r="BJ16" s="37"/>
      <c r="BK16" s="37"/>
      <c r="BL16" s="41" t="s">
        <v>28</v>
      </c>
      <c r="BR16" s="40"/>
    </row>
    <row r="17" spans="2:70" x14ac:dyDescent="0.25"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H17" s="42"/>
      <c r="BJ17" s="37"/>
      <c r="BK17" s="37"/>
      <c r="BL17" s="41" t="s">
        <v>28</v>
      </c>
      <c r="BR17" s="40"/>
    </row>
    <row r="18" spans="2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2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2:70" x14ac:dyDescent="0.25">
      <c r="BR20" s="1"/>
    </row>
    <row r="21" spans="2:70" x14ac:dyDescent="0.25">
      <c r="B21" t="s">
        <v>25</v>
      </c>
      <c r="C21" s="3">
        <f>IF(COUNT(C4:C19)&gt;0,AVERAGE(C4:C19),"")</f>
        <v>4.1428571428571432</v>
      </c>
      <c r="D21" s="3"/>
      <c r="E21" s="3"/>
      <c r="F21" s="3">
        <f>IF(COUNT(F4:F19)&gt;0,AVERAGE(F4:F19),"")</f>
        <v>4.1428571428571432</v>
      </c>
      <c r="G21" s="3"/>
      <c r="H21" s="3"/>
      <c r="I21" s="3">
        <f>IF(COUNT(I4:I19)&gt;0,AVERAGE(I4:I19),"")</f>
        <v>3.7142857142857144</v>
      </c>
      <c r="J21" s="3"/>
      <c r="K21" s="3"/>
      <c r="L21" s="3">
        <f>IF(COUNT(L4:L19)&gt;0,AVERAGE(L4:L19),"")</f>
        <v>3.8571428571428572</v>
      </c>
      <c r="M21" s="3"/>
      <c r="N21" s="3"/>
      <c r="O21" s="3">
        <f>IF(COUNT(O4:O19)&gt;0,AVERAGE(O4:O19),"")</f>
        <v>3.7142857142857144</v>
      </c>
      <c r="P21" s="3"/>
      <c r="Q21" s="3"/>
      <c r="R21" s="3">
        <f>IF(COUNT(R4:R19)&gt;0,AVERAGE(R4:R19),"")</f>
        <v>4.7143000000000006</v>
      </c>
      <c r="S21" s="3"/>
      <c r="T21" s="3"/>
      <c r="U21" s="3">
        <f>IF(COUNT(U4:U19)&gt;0,AVERAGE(U4:U19),"")</f>
        <v>5.2857571428571424</v>
      </c>
      <c r="V21" s="3"/>
      <c r="W21" s="3"/>
      <c r="X21" s="3">
        <f>IF(COUNT(X4:X19)&gt;0,AVERAGE(X4:X19),"")</f>
        <v>3.2857142857142856</v>
      </c>
      <c r="Y21" s="3"/>
      <c r="Z21" s="3"/>
      <c r="AA21" s="3">
        <f>IF(COUNT(AA4:AA19)&gt;0,AVERAGE(AA4:AA19),"")</f>
        <v>5.0000285714285715</v>
      </c>
      <c r="AB21" s="3"/>
      <c r="AC21" s="3"/>
      <c r="AD21" s="3">
        <f>IF(COUNT(AD4:AD19)&gt;0,AVERAGE(AD4:AD19),"")</f>
        <v>4</v>
      </c>
      <c r="AE21" s="3"/>
      <c r="AF21" s="3"/>
      <c r="AG21" s="3">
        <f>IF(COUNT(AG4:AG19)&gt;0,AVERAGE(AG4:AG19),"")</f>
        <v>5.2857142857142856</v>
      </c>
      <c r="AH21" s="3"/>
      <c r="AI21" s="3"/>
      <c r="AJ21" s="3">
        <f>IF(COUNT(AJ4:AJ19)&gt;0,AVERAGE(AJ4:AJ19),"")</f>
        <v>3.1428571428571428</v>
      </c>
      <c r="AK21" s="3"/>
      <c r="AL21" s="3"/>
      <c r="AM21" s="3">
        <f>IF(COUNT(AM4:AM19)&gt;0,AVERAGE(AM4:AM19),"")</f>
        <v>3.5714285714285716</v>
      </c>
      <c r="AN21" s="18"/>
      <c r="AO21" s="18"/>
      <c r="AP21" s="3">
        <f>IF(COUNT(AP4:AP19)&gt;0,AVERAGE(AP4:AP19),"")</f>
        <v>4.2857285714285718</v>
      </c>
      <c r="AQ21" s="18"/>
      <c r="AR21" s="18"/>
      <c r="AS21" s="3">
        <f>IF(COUNT(AS4:AS19)&gt;0,AVERAGE(AS4:AS19),"")</f>
        <v>3.4285714285714284</v>
      </c>
      <c r="AT21" s="18"/>
      <c r="AU21" s="18"/>
      <c r="AV21" s="3">
        <f>IF(COUNT(AV4:AV19)&gt;0,AVERAGE(AV4:AV19),"")</f>
        <v>4.1428571428571432</v>
      </c>
      <c r="AW21" s="18"/>
      <c r="AX21" s="18"/>
      <c r="AY21" s="3">
        <f>IF(COUNT(AY4:AY19)&gt;0,AVERAGE(AY4:AY19),"")</f>
        <v>3.857157142857143</v>
      </c>
      <c r="AZ21" s="18"/>
      <c r="BA21" s="18"/>
      <c r="BB21" s="3">
        <f>IF(COUNT(BB4:BB19)&gt;0,AVERAGE(BB4:BB19),"")</f>
        <v>4.2857285714285718</v>
      </c>
      <c r="BC21" s="18"/>
      <c r="BD21" s="18"/>
    </row>
    <row r="23" spans="2:70" x14ac:dyDescent="0.25">
      <c r="C23" s="6">
        <v>7.0000999999999998</v>
      </c>
      <c r="D23" s="7" t="s">
        <v>26</v>
      </c>
    </row>
    <row r="24" spans="2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2:70" x14ac:dyDescent="0.25">
      <c r="C25" s="2"/>
      <c r="D25" s="7"/>
      <c r="F25" s="2"/>
      <c r="AA25" s="8">
        <v>6.9999000000000002</v>
      </c>
      <c r="AB25" s="7" t="s">
        <v>27</v>
      </c>
    </row>
    <row r="26" spans="2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2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2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2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2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0">
    <sortCondition ref="BL4:BL10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059B-5CD3-494D-9673-5F9CAB449C86}">
  <sheetPr codeName="Sheet14"/>
  <dimension ref="A1:BR61"/>
  <sheetViews>
    <sheetView zoomScale="96" zoomScaleNormal="96" workbookViewId="0">
      <pane xSplit="2" ySplit="2" topLeftCell="AP3" activePane="bottomRight" state="frozen"/>
      <selection pane="topRight" activeCell="C1" sqref="C1"/>
      <selection pane="bottomLeft" activeCell="A3" sqref="A3"/>
      <selection pane="bottomRight" activeCell="A4" sqref="A4:B10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  <col min="64" max="64" width="9.5703125" customWidth="1"/>
  </cols>
  <sheetData>
    <row r="1" spans="1:70" x14ac:dyDescent="0.25">
      <c r="A1" s="9" t="s">
        <v>0</v>
      </c>
      <c r="B1" s="7">
        <v>4</v>
      </c>
      <c r="C1" s="52">
        <v>45086</v>
      </c>
      <c r="D1" s="53"/>
      <c r="E1" s="54"/>
      <c r="F1" s="52">
        <f>C1+1</f>
        <v>45087</v>
      </c>
      <c r="G1" s="53"/>
      <c r="H1" s="54"/>
      <c r="I1" s="52">
        <f>F1+1</f>
        <v>45088</v>
      </c>
      <c r="J1" s="53"/>
      <c r="K1" s="54"/>
      <c r="L1" s="52">
        <f>I1+1</f>
        <v>45089</v>
      </c>
      <c r="M1" s="53"/>
      <c r="N1" s="54"/>
      <c r="O1" s="52">
        <f>L1+1</f>
        <v>45090</v>
      </c>
      <c r="P1" s="53"/>
      <c r="Q1" s="54"/>
      <c r="R1" s="52">
        <f>O1+1</f>
        <v>45091</v>
      </c>
      <c r="S1" s="53"/>
      <c r="T1" s="54"/>
      <c r="U1" s="52">
        <f>R1+1</f>
        <v>45092</v>
      </c>
      <c r="V1" s="53"/>
      <c r="W1" s="54"/>
      <c r="X1" s="52">
        <f>U1+1</f>
        <v>45093</v>
      </c>
      <c r="Y1" s="53"/>
      <c r="Z1" s="54"/>
      <c r="AA1" s="52">
        <f>X1+1</f>
        <v>45094</v>
      </c>
      <c r="AB1" s="53"/>
      <c r="AC1" s="54"/>
      <c r="AD1" s="52">
        <f>AA1+1</f>
        <v>45095</v>
      </c>
      <c r="AE1" s="53"/>
      <c r="AF1" s="54"/>
      <c r="AG1" s="52">
        <f>AD1+1</f>
        <v>45096</v>
      </c>
      <c r="AH1" s="53"/>
      <c r="AI1" s="54"/>
      <c r="AJ1" s="52">
        <f>AG1+1</f>
        <v>45097</v>
      </c>
      <c r="AK1" s="53"/>
      <c r="AL1" s="54"/>
      <c r="AM1" s="52">
        <f>AJ1+1</f>
        <v>45098</v>
      </c>
      <c r="AN1" s="53"/>
      <c r="AO1" s="54"/>
      <c r="AP1" s="52">
        <f>AM1+1</f>
        <v>45099</v>
      </c>
      <c r="AQ1" s="53"/>
      <c r="AR1" s="54"/>
      <c r="AS1" s="52">
        <f>AP1+1</f>
        <v>45100</v>
      </c>
      <c r="AT1" s="53"/>
      <c r="AU1" s="54"/>
      <c r="AV1" s="52">
        <f>AS1+1</f>
        <v>45101</v>
      </c>
      <c r="AW1" s="53"/>
      <c r="AX1" s="54"/>
      <c r="AY1" s="52">
        <f>AV1+1</f>
        <v>45102</v>
      </c>
      <c r="AZ1" s="53"/>
      <c r="BA1" s="54"/>
      <c r="BB1" s="52">
        <f>AY1+1</f>
        <v>45103</v>
      </c>
      <c r="BC1" s="53"/>
      <c r="BD1" s="54"/>
    </row>
    <row r="2" spans="1:70" x14ac:dyDescent="0.25">
      <c r="B2" s="9" t="s">
        <v>1</v>
      </c>
      <c r="C2" s="49">
        <v>720</v>
      </c>
      <c r="D2" s="50"/>
      <c r="E2" s="51"/>
      <c r="F2" s="49">
        <f>C2+1</f>
        <v>721</v>
      </c>
      <c r="G2" s="50"/>
      <c r="H2" s="51"/>
      <c r="I2" s="49">
        <f>F2+1</f>
        <v>722</v>
      </c>
      <c r="J2" s="50"/>
      <c r="K2" s="51"/>
      <c r="L2" s="49">
        <f>I2+1</f>
        <v>723</v>
      </c>
      <c r="M2" s="50"/>
      <c r="N2" s="51"/>
      <c r="O2" s="49">
        <f>L2+1</f>
        <v>724</v>
      </c>
      <c r="P2" s="50"/>
      <c r="Q2" s="51"/>
      <c r="R2" s="49">
        <f>O2+1</f>
        <v>725</v>
      </c>
      <c r="S2" s="50"/>
      <c r="T2" s="51"/>
      <c r="U2" s="49">
        <f>R2+1</f>
        <v>726</v>
      </c>
      <c r="V2" s="50"/>
      <c r="W2" s="51"/>
      <c r="X2" s="49">
        <f>U2+1</f>
        <v>727</v>
      </c>
      <c r="Y2" s="50"/>
      <c r="Z2" s="51"/>
      <c r="AA2" s="49">
        <f>X2+1</f>
        <v>728</v>
      </c>
      <c r="AB2" s="50"/>
      <c r="AC2" s="51"/>
      <c r="AD2" s="49">
        <f>AA2+1</f>
        <v>729</v>
      </c>
      <c r="AE2" s="50"/>
      <c r="AF2" s="51"/>
      <c r="AG2" s="49">
        <f>AD2+1</f>
        <v>730</v>
      </c>
      <c r="AH2" s="50"/>
      <c r="AI2" s="51"/>
      <c r="AJ2" s="49">
        <f>AG2+1</f>
        <v>731</v>
      </c>
      <c r="AK2" s="50"/>
      <c r="AL2" s="51"/>
      <c r="AM2" s="49">
        <f>AJ2+1</f>
        <v>732</v>
      </c>
      <c r="AN2" s="50"/>
      <c r="AO2" s="51"/>
      <c r="AP2" s="49">
        <f>AM2+1</f>
        <v>733</v>
      </c>
      <c r="AQ2" s="50"/>
      <c r="AR2" s="51"/>
      <c r="AS2" s="49">
        <f>AP2+1</f>
        <v>734</v>
      </c>
      <c r="AT2" s="50"/>
      <c r="AU2" s="51"/>
      <c r="AV2" s="49">
        <f>AS2+1</f>
        <v>735</v>
      </c>
      <c r="AW2" s="50"/>
      <c r="AX2" s="51"/>
      <c r="AY2" s="49">
        <f>AV2+1</f>
        <v>736</v>
      </c>
      <c r="AZ2" s="50"/>
      <c r="BA2" s="51"/>
      <c r="BB2" s="49">
        <f>AY2+1</f>
        <v>737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2</v>
      </c>
      <c r="D4" s="18">
        <f>IF(C4&lt;&gt;"",C4-$B$1,"")</f>
        <v>-2</v>
      </c>
      <c r="E4" s="24">
        <f>D4</f>
        <v>-2</v>
      </c>
      <c r="F4" s="38">
        <v>4</v>
      </c>
      <c r="G4" s="18">
        <f>IF(F4&lt;&gt;"",F4-$B$1,"")</f>
        <v>0</v>
      </c>
      <c r="H4" s="13">
        <f>IF(F4&lt;&gt;"",E4+G4,"")</f>
        <v>-2</v>
      </c>
      <c r="I4" s="38">
        <v>4</v>
      </c>
      <c r="J4" s="18">
        <f>IF(I4&lt;&gt;"",I4-$B$1,"")</f>
        <v>0</v>
      </c>
      <c r="K4" s="13">
        <f>IF(I4&lt;&gt;"",H4+J4,"")</f>
        <v>-2</v>
      </c>
      <c r="L4" s="38">
        <v>4</v>
      </c>
      <c r="M4" s="18">
        <f>IF(L4&lt;&gt;"",L4-$B$1,"")</f>
        <v>0</v>
      </c>
      <c r="N4" s="13">
        <f>IF(L4&lt;&gt;"",K4+M4,"")</f>
        <v>-2</v>
      </c>
      <c r="O4" s="38">
        <v>4</v>
      </c>
      <c r="P4" s="18">
        <f>IF(O4&lt;&gt;"",O4-$B$1,"")</f>
        <v>0</v>
      </c>
      <c r="Q4" s="13">
        <f>IF(O4&lt;&gt;"",N4+P4,"")</f>
        <v>-2</v>
      </c>
      <c r="R4" s="38">
        <v>4</v>
      </c>
      <c r="S4" s="18">
        <f>IF(R4&lt;&gt;"",R4-$B$1,"")</f>
        <v>0</v>
      </c>
      <c r="T4" s="13">
        <f>IF(R4&lt;&gt;"",Q4+S4,"")</f>
        <v>-2</v>
      </c>
      <c r="U4" s="38">
        <v>3</v>
      </c>
      <c r="V4" s="18">
        <f>IF(U4&lt;&gt;"",U4-$B$1,"")</f>
        <v>-1</v>
      </c>
      <c r="W4" s="13">
        <f>IF(U4&lt;&gt;"",T4+V4,"")</f>
        <v>-3</v>
      </c>
      <c r="X4" s="38">
        <v>3</v>
      </c>
      <c r="Y4" s="18">
        <f>IF(X4&lt;&gt;"",X4-$B$1,"")</f>
        <v>-1</v>
      </c>
      <c r="Z4" s="13">
        <f>IF(X4&lt;&gt;"",W4+Y4,"")</f>
        <v>-4</v>
      </c>
      <c r="AA4" s="38">
        <v>5</v>
      </c>
      <c r="AB4" s="18">
        <f>IF(AA4&lt;&gt;"",AA4-$B$1,"")</f>
        <v>1</v>
      </c>
      <c r="AC4" s="13">
        <f>IF(AA4&lt;&gt;"",Z4+AB4,"")</f>
        <v>-3</v>
      </c>
      <c r="AD4" s="38">
        <v>3</v>
      </c>
      <c r="AE4" s="18">
        <f>IF(AD4&lt;&gt;"",AD4-$B$1,"")</f>
        <v>-1</v>
      </c>
      <c r="AF4" s="13">
        <f>IF(AD4&lt;&gt;"",AC4+AE4,"")</f>
        <v>-4</v>
      </c>
      <c r="AG4" s="38">
        <v>5</v>
      </c>
      <c r="AH4" s="18">
        <f>IF(AG4&lt;&gt;"",AG4-$B$1,"")</f>
        <v>1</v>
      </c>
      <c r="AI4" s="13">
        <f>IF(AG4&lt;&gt;"",AF4+AH4,"")</f>
        <v>-3</v>
      </c>
      <c r="AJ4" s="38">
        <v>3</v>
      </c>
      <c r="AK4" s="18">
        <f>IF(AJ4&lt;&gt;"",AJ4-$B$1,"")</f>
        <v>-1</v>
      </c>
      <c r="AL4" s="13">
        <f>IF(AJ4&lt;&gt;"",AI4+AK4,"")</f>
        <v>-4</v>
      </c>
      <c r="AM4" s="38">
        <v>5</v>
      </c>
      <c r="AN4" s="18">
        <f>IF(AM4&lt;&gt;"",AM4-$B$1,"")</f>
        <v>1</v>
      </c>
      <c r="AO4" s="13">
        <f>IF(AM4&lt;&gt;"",AL4+AN4,"")</f>
        <v>-3</v>
      </c>
      <c r="AP4" s="38">
        <v>3</v>
      </c>
      <c r="AQ4" s="18">
        <f>IF(AP4&lt;&gt;"",AP4-$B$1,"")</f>
        <v>-1</v>
      </c>
      <c r="AR4" s="13">
        <f>IF(AP4&lt;&gt;"",AO4+AQ4,"")</f>
        <v>-4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-0.99990000000000023</v>
      </c>
      <c r="AV4" s="38">
        <v>4</v>
      </c>
      <c r="AW4" s="18">
        <f>IF(AV4&lt;&gt;"",AV4-$B$1,"")</f>
        <v>0</v>
      </c>
      <c r="AX4" s="13">
        <f>IF(AV4&lt;&gt;"",AU4+AW4,"")</f>
        <v>-0.99990000000000023</v>
      </c>
      <c r="AY4" s="38">
        <v>4</v>
      </c>
      <c r="AZ4" s="18">
        <f>IF(AY4&lt;&gt;"",AY4-$B$1,"")</f>
        <v>0</v>
      </c>
      <c r="BA4" s="13">
        <f>IF(AY4&lt;&gt;"",AX4+AZ4,"")</f>
        <v>-0.99990000000000023</v>
      </c>
      <c r="BB4" s="38">
        <v>3</v>
      </c>
      <c r="BC4" s="18">
        <f>IF(BB4&lt;&gt;"",BB4-$B$1,"")</f>
        <v>-1</v>
      </c>
      <c r="BD4" s="13">
        <f>IF(BB4&lt;&gt;"",BA4+BC4,"")</f>
        <v>-1.9999000000000002</v>
      </c>
      <c r="BF4" t="s">
        <v>7</v>
      </c>
      <c r="BG4" t="s">
        <v>8</v>
      </c>
      <c r="BH4" s="42"/>
      <c r="BI4">
        <v>1</v>
      </c>
      <c r="BJ4" s="37" t="s">
        <v>9</v>
      </c>
      <c r="BK4" s="37" t="s">
        <v>10</v>
      </c>
      <c r="BL4" s="43">
        <v>-12</v>
      </c>
      <c r="BR4" s="40"/>
    </row>
    <row r="5" spans="1:70" x14ac:dyDescent="0.2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-2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-4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-5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-6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-7</v>
      </c>
      <c r="X5" s="44">
        <v>3</v>
      </c>
      <c r="Y5" s="2">
        <f t="shared" ref="Y5:Y9" si="14">IF(X5&lt;&gt;"",X5-$B$1,"")</f>
        <v>-1</v>
      </c>
      <c r="Z5" s="13">
        <f t="shared" ref="Z5:Z9" si="15">IF(X5&lt;&gt;"",W5+Y5,"")</f>
        <v>-8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-8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-8</v>
      </c>
      <c r="AJ5" s="16">
        <v>2</v>
      </c>
      <c r="AK5" s="2">
        <f t="shared" ref="AK5:AK9" si="22">IF(AJ5&lt;&gt;"",AJ5-$B$1,"")</f>
        <v>-2</v>
      </c>
      <c r="AL5" s="13">
        <f t="shared" ref="AL5:AL9" si="23">IF(AJ5&lt;&gt;"",AI5+AK5,"")</f>
        <v>-10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-10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-11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-12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-11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-11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-12</v>
      </c>
      <c r="BF5" t="s">
        <v>9</v>
      </c>
      <c r="BG5" t="s">
        <v>10</v>
      </c>
      <c r="BH5" s="42"/>
      <c r="BI5">
        <v>2</v>
      </c>
      <c r="BJ5" s="37" t="s">
        <v>11</v>
      </c>
      <c r="BK5" s="37" t="s">
        <v>12</v>
      </c>
      <c r="BL5" s="43">
        <v>-7</v>
      </c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3</v>
      </c>
      <c r="G6" s="2">
        <f t="shared" si="2"/>
        <v>-1</v>
      </c>
      <c r="H6" s="13">
        <f t="shared" si="3"/>
        <v>-1</v>
      </c>
      <c r="I6" s="16">
        <v>2</v>
      </c>
      <c r="J6" s="2">
        <f t="shared" si="4"/>
        <v>-2</v>
      </c>
      <c r="K6" s="13">
        <f t="shared" si="5"/>
        <v>-3</v>
      </c>
      <c r="L6" s="16">
        <v>3</v>
      </c>
      <c r="M6" s="2">
        <f t="shared" si="6"/>
        <v>-1</v>
      </c>
      <c r="N6" s="13">
        <f t="shared" si="7"/>
        <v>-4</v>
      </c>
      <c r="O6" s="16">
        <v>5</v>
      </c>
      <c r="P6" s="2">
        <f t="shared" si="8"/>
        <v>1</v>
      </c>
      <c r="Q6" s="13">
        <f t="shared" si="9"/>
        <v>-3</v>
      </c>
      <c r="R6" s="16">
        <v>4</v>
      </c>
      <c r="S6" s="2">
        <f t="shared" si="10"/>
        <v>0</v>
      </c>
      <c r="T6" s="13">
        <f t="shared" si="11"/>
        <v>-3</v>
      </c>
      <c r="U6" s="16">
        <v>5</v>
      </c>
      <c r="V6" s="2">
        <f t="shared" si="12"/>
        <v>1</v>
      </c>
      <c r="W6" s="13">
        <f t="shared" si="13"/>
        <v>-2</v>
      </c>
      <c r="X6" s="16">
        <v>5</v>
      </c>
      <c r="Y6" s="2">
        <f t="shared" si="14"/>
        <v>1</v>
      </c>
      <c r="Z6" s="13">
        <f t="shared" si="15"/>
        <v>-1</v>
      </c>
      <c r="AA6" s="16">
        <v>4</v>
      </c>
      <c r="AB6" s="2">
        <f t="shared" si="16"/>
        <v>0</v>
      </c>
      <c r="AC6" s="13">
        <f t="shared" si="17"/>
        <v>-1</v>
      </c>
      <c r="AD6" s="16">
        <v>3</v>
      </c>
      <c r="AE6" s="2">
        <f t="shared" si="18"/>
        <v>-1</v>
      </c>
      <c r="AF6" s="13">
        <f t="shared" si="19"/>
        <v>-2</v>
      </c>
      <c r="AG6" s="16">
        <v>6</v>
      </c>
      <c r="AH6" s="2">
        <f t="shared" si="20"/>
        <v>2</v>
      </c>
      <c r="AI6" s="13">
        <f t="shared" si="21"/>
        <v>0</v>
      </c>
      <c r="AJ6" s="16">
        <v>3</v>
      </c>
      <c r="AK6" s="2">
        <f t="shared" si="22"/>
        <v>-1</v>
      </c>
      <c r="AL6" s="13">
        <f t="shared" si="23"/>
        <v>-1</v>
      </c>
      <c r="AM6" s="16">
        <v>2</v>
      </c>
      <c r="AN6" s="2">
        <f t="shared" si="24"/>
        <v>-2</v>
      </c>
      <c r="AO6" s="13">
        <f t="shared" si="25"/>
        <v>-3</v>
      </c>
      <c r="AP6" s="16">
        <v>3</v>
      </c>
      <c r="AQ6" s="2">
        <f t="shared" si="26"/>
        <v>-1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9" si="35">IF(AS6&lt;&gt;"",AR6+AT6,"")</f>
        <v>-5</v>
      </c>
      <c r="AV6" s="16">
        <v>3</v>
      </c>
      <c r="AW6" s="2">
        <f t="shared" si="29"/>
        <v>-1</v>
      </c>
      <c r="AX6" s="13">
        <f t="shared" si="30"/>
        <v>-6</v>
      </c>
      <c r="AY6" s="16">
        <v>3</v>
      </c>
      <c r="AZ6" s="2">
        <f t="shared" si="31"/>
        <v>-1</v>
      </c>
      <c r="BA6" s="13">
        <f t="shared" si="32"/>
        <v>-7</v>
      </c>
      <c r="BB6" s="16">
        <v>4</v>
      </c>
      <c r="BC6" s="2">
        <f t="shared" si="33"/>
        <v>0</v>
      </c>
      <c r="BD6" s="13">
        <f t="shared" si="34"/>
        <v>-7</v>
      </c>
      <c r="BF6" t="s">
        <v>11</v>
      </c>
      <c r="BG6" t="s">
        <v>12</v>
      </c>
      <c r="BH6" s="42"/>
      <c r="BI6">
        <v>3</v>
      </c>
      <c r="BJ6" s="37" t="s">
        <v>23</v>
      </c>
      <c r="BK6" s="37" t="s">
        <v>24</v>
      </c>
      <c r="BL6" s="43">
        <v>-7</v>
      </c>
      <c r="BR6" s="40"/>
    </row>
    <row r="7" spans="1:70" x14ac:dyDescent="0.25">
      <c r="A7" t="s">
        <v>15</v>
      </c>
      <c r="B7" t="s">
        <v>16</v>
      </c>
      <c r="C7" s="16">
        <v>5</v>
      </c>
      <c r="D7" s="2">
        <f t="shared" si="0"/>
        <v>1</v>
      </c>
      <c r="E7" s="13">
        <f t="shared" si="1"/>
        <v>1</v>
      </c>
      <c r="F7" s="16">
        <v>3</v>
      </c>
      <c r="G7" s="2">
        <f t="shared" si="2"/>
        <v>-1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5</v>
      </c>
      <c r="M7" s="2">
        <f t="shared" si="6"/>
        <v>1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3</v>
      </c>
      <c r="S7" s="2">
        <f t="shared" si="10"/>
        <v>-1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2</v>
      </c>
      <c r="AB7" s="2">
        <f t="shared" si="16"/>
        <v>-2</v>
      </c>
      <c r="AC7" s="13">
        <f t="shared" si="17"/>
        <v>1.0000999999999998</v>
      </c>
      <c r="AD7" s="16">
        <v>4</v>
      </c>
      <c r="AE7" s="2">
        <f>IF(AD7&lt;&gt;"",AD7-$B$1,"")</f>
        <v>0</v>
      </c>
      <c r="AF7" s="13">
        <f>IF(AD7&lt;&gt;"",AC7+AE7,"")</f>
        <v>1.0000999999999998</v>
      </c>
      <c r="AG7" s="6">
        <v>7.0000999999999998</v>
      </c>
      <c r="AH7" s="2">
        <f t="shared" si="20"/>
        <v>3.0000999999999998</v>
      </c>
      <c r="AI7" s="13">
        <f t="shared" si="21"/>
        <v>4.0001999999999995</v>
      </c>
      <c r="AJ7" s="6">
        <v>7.0000999999999998</v>
      </c>
      <c r="AK7" s="2">
        <f t="shared" si="22"/>
        <v>3.0000999999999998</v>
      </c>
      <c r="AL7" s="13">
        <f t="shared" si="23"/>
        <v>7.0002999999999993</v>
      </c>
      <c r="AM7" s="16">
        <v>4</v>
      </c>
      <c r="AN7" s="2">
        <f t="shared" si="24"/>
        <v>0</v>
      </c>
      <c r="AO7" s="13">
        <f t="shared" si="25"/>
        <v>7.0002999999999993</v>
      </c>
      <c r="AP7" s="6">
        <v>7.0000999999999998</v>
      </c>
      <c r="AQ7" s="2">
        <f t="shared" si="26"/>
        <v>3.0000999999999998</v>
      </c>
      <c r="AR7" s="13">
        <f t="shared" si="27"/>
        <v>10.000399999999999</v>
      </c>
      <c r="AS7" s="16">
        <v>4</v>
      </c>
      <c r="AT7" s="2">
        <f t="shared" si="28"/>
        <v>0</v>
      </c>
      <c r="AU7" s="13">
        <f>IF(AS7&lt;&gt;"",AR7+AT7,"")</f>
        <v>10.000399999999999</v>
      </c>
      <c r="AV7" s="16">
        <v>4</v>
      </c>
      <c r="AW7" s="2">
        <f t="shared" si="29"/>
        <v>0</v>
      </c>
      <c r="AX7" s="13">
        <f t="shared" si="30"/>
        <v>10.000399999999999</v>
      </c>
      <c r="AY7" s="16">
        <v>2</v>
      </c>
      <c r="AZ7" s="2">
        <f t="shared" si="31"/>
        <v>-2</v>
      </c>
      <c r="BA7" s="13">
        <f t="shared" si="32"/>
        <v>8.0003999999999991</v>
      </c>
      <c r="BB7" s="16">
        <v>5</v>
      </c>
      <c r="BC7" s="2">
        <f t="shared" si="33"/>
        <v>1</v>
      </c>
      <c r="BD7" s="13">
        <f t="shared" si="34"/>
        <v>9.0003999999999991</v>
      </c>
      <c r="BF7" t="s">
        <v>15</v>
      </c>
      <c r="BG7" t="s">
        <v>16</v>
      </c>
      <c r="BH7" s="42"/>
      <c r="BI7">
        <v>4</v>
      </c>
      <c r="BJ7" s="37" t="s">
        <v>7</v>
      </c>
      <c r="BK7" s="37" t="s">
        <v>8</v>
      </c>
      <c r="BL7" s="43">
        <v>-1.9999000000000002</v>
      </c>
      <c r="BR7" s="40"/>
    </row>
    <row r="8" spans="1:70" x14ac:dyDescent="0.25">
      <c r="A8" t="s">
        <v>19</v>
      </c>
      <c r="B8" t="s">
        <v>20</v>
      </c>
      <c r="C8" s="16">
        <v>5</v>
      </c>
      <c r="D8" s="2">
        <f t="shared" si="0"/>
        <v>1</v>
      </c>
      <c r="E8" s="13">
        <f t="shared" si="1"/>
        <v>1</v>
      </c>
      <c r="F8" s="16">
        <v>4</v>
      </c>
      <c r="G8" s="2">
        <f t="shared" si="2"/>
        <v>0</v>
      </c>
      <c r="H8" s="13">
        <f t="shared" si="3"/>
        <v>1</v>
      </c>
      <c r="I8" s="16">
        <v>4</v>
      </c>
      <c r="J8" s="2">
        <f t="shared" si="4"/>
        <v>0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4</v>
      </c>
      <c r="P8" s="2">
        <f t="shared" si="8"/>
        <v>0</v>
      </c>
      <c r="Q8" s="13">
        <f t="shared" si="9"/>
        <v>1</v>
      </c>
      <c r="R8" s="16">
        <v>3</v>
      </c>
      <c r="S8" s="2">
        <f t="shared" si="10"/>
        <v>-1</v>
      </c>
      <c r="T8" s="13">
        <f t="shared" si="11"/>
        <v>0</v>
      </c>
      <c r="U8" s="16">
        <v>5</v>
      </c>
      <c r="V8" s="2">
        <f t="shared" si="12"/>
        <v>1</v>
      </c>
      <c r="W8" s="13">
        <f t="shared" si="13"/>
        <v>1</v>
      </c>
      <c r="X8" s="16">
        <v>3</v>
      </c>
      <c r="Y8" s="2">
        <f t="shared" si="14"/>
        <v>-1</v>
      </c>
      <c r="Z8" s="13">
        <f t="shared" si="15"/>
        <v>0</v>
      </c>
      <c r="AA8" s="16">
        <v>3</v>
      </c>
      <c r="AB8" s="2">
        <f t="shared" si="16"/>
        <v>-1</v>
      </c>
      <c r="AC8" s="13">
        <f t="shared" si="17"/>
        <v>-1</v>
      </c>
      <c r="AD8" s="16">
        <v>4</v>
      </c>
      <c r="AE8" s="2">
        <f t="shared" si="18"/>
        <v>0</v>
      </c>
      <c r="AF8" s="13">
        <f t="shared" si="19"/>
        <v>-1</v>
      </c>
      <c r="AG8" s="16">
        <v>6</v>
      </c>
      <c r="AH8" s="2">
        <f t="shared" si="20"/>
        <v>2</v>
      </c>
      <c r="AI8" s="13">
        <f t="shared" si="21"/>
        <v>1</v>
      </c>
      <c r="AJ8" s="16">
        <v>5</v>
      </c>
      <c r="AK8" s="2">
        <f t="shared" si="22"/>
        <v>1</v>
      </c>
      <c r="AL8" s="13">
        <f t="shared" si="23"/>
        <v>2</v>
      </c>
      <c r="AM8" s="16">
        <v>3</v>
      </c>
      <c r="AN8" s="2">
        <f t="shared" si="24"/>
        <v>-1</v>
      </c>
      <c r="AO8" s="13">
        <f t="shared" si="25"/>
        <v>1</v>
      </c>
      <c r="AP8" s="16">
        <v>6</v>
      </c>
      <c r="AQ8" s="2">
        <f t="shared" si="26"/>
        <v>2</v>
      </c>
      <c r="AR8" s="13">
        <f t="shared" si="27"/>
        <v>3</v>
      </c>
      <c r="AS8" s="16">
        <v>5</v>
      </c>
      <c r="AT8" s="2">
        <f t="shared" si="28"/>
        <v>1</v>
      </c>
      <c r="AU8" s="13">
        <f t="shared" si="35"/>
        <v>4</v>
      </c>
      <c r="AV8" s="16">
        <v>3</v>
      </c>
      <c r="AW8" s="2">
        <f t="shared" si="29"/>
        <v>-1</v>
      </c>
      <c r="AX8" s="13">
        <f t="shared" si="30"/>
        <v>3</v>
      </c>
      <c r="AY8" s="16">
        <v>3</v>
      </c>
      <c r="AZ8" s="2">
        <f t="shared" si="31"/>
        <v>-1</v>
      </c>
      <c r="BA8" s="13">
        <f t="shared" si="32"/>
        <v>2</v>
      </c>
      <c r="BB8" s="16">
        <v>6</v>
      </c>
      <c r="BC8" s="2">
        <f t="shared" si="33"/>
        <v>2</v>
      </c>
      <c r="BD8" s="13">
        <f t="shared" si="34"/>
        <v>4</v>
      </c>
      <c r="BF8" t="s">
        <v>19</v>
      </c>
      <c r="BG8" t="s">
        <v>20</v>
      </c>
      <c r="BH8" s="42"/>
      <c r="BI8">
        <v>5</v>
      </c>
      <c r="BJ8" s="37" t="s">
        <v>19</v>
      </c>
      <c r="BK8" s="37" t="s">
        <v>20</v>
      </c>
      <c r="BL8" s="43">
        <v>4</v>
      </c>
      <c r="BR8" s="40"/>
    </row>
    <row r="9" spans="1:70" x14ac:dyDescent="0.25">
      <c r="A9" t="s">
        <v>21</v>
      </c>
      <c r="B9" t="s">
        <v>22</v>
      </c>
      <c r="C9" s="16">
        <v>3</v>
      </c>
      <c r="D9" s="2">
        <f t="shared" si="0"/>
        <v>-1</v>
      </c>
      <c r="E9" s="13">
        <f t="shared" si="1"/>
        <v>-1</v>
      </c>
      <c r="F9" s="16">
        <v>4</v>
      </c>
      <c r="G9" s="2">
        <f t="shared" si="2"/>
        <v>0</v>
      </c>
      <c r="H9" s="13">
        <f t="shared" si="3"/>
        <v>-1</v>
      </c>
      <c r="I9" s="16">
        <v>6</v>
      </c>
      <c r="J9" s="2">
        <f t="shared" si="4"/>
        <v>2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3</v>
      </c>
      <c r="P9" s="2">
        <f t="shared" si="8"/>
        <v>-1</v>
      </c>
      <c r="Q9" s="13">
        <f t="shared" si="9"/>
        <v>2</v>
      </c>
      <c r="R9" s="16">
        <v>3</v>
      </c>
      <c r="S9" s="2">
        <f t="shared" si="10"/>
        <v>-1</v>
      </c>
      <c r="T9" s="13">
        <f t="shared" si="11"/>
        <v>1</v>
      </c>
      <c r="U9" s="16">
        <v>4</v>
      </c>
      <c r="V9" s="2">
        <f t="shared" si="12"/>
        <v>0</v>
      </c>
      <c r="W9" s="13">
        <f t="shared" si="13"/>
        <v>1</v>
      </c>
      <c r="X9" s="16">
        <v>3</v>
      </c>
      <c r="Y9" s="2">
        <f t="shared" si="14"/>
        <v>-1</v>
      </c>
      <c r="Z9" s="13">
        <f t="shared" si="15"/>
        <v>0</v>
      </c>
      <c r="AA9" s="16">
        <v>5</v>
      </c>
      <c r="AB9" s="2">
        <f t="shared" si="16"/>
        <v>1</v>
      </c>
      <c r="AC9" s="13">
        <f t="shared" si="17"/>
        <v>1</v>
      </c>
      <c r="AD9" s="16">
        <v>5</v>
      </c>
      <c r="AE9" s="2">
        <f t="shared" si="18"/>
        <v>1</v>
      </c>
      <c r="AF9" s="13">
        <f t="shared" si="19"/>
        <v>2</v>
      </c>
      <c r="AG9" s="16">
        <v>5</v>
      </c>
      <c r="AH9" s="2">
        <f t="shared" si="20"/>
        <v>1</v>
      </c>
      <c r="AI9" s="13">
        <f t="shared" si="21"/>
        <v>3</v>
      </c>
      <c r="AJ9" s="16">
        <v>4</v>
      </c>
      <c r="AK9" s="2">
        <f t="shared" si="22"/>
        <v>0</v>
      </c>
      <c r="AL9" s="13">
        <f t="shared" si="23"/>
        <v>3</v>
      </c>
      <c r="AM9" s="16">
        <v>3</v>
      </c>
      <c r="AN9" s="2">
        <f t="shared" si="24"/>
        <v>-1</v>
      </c>
      <c r="AO9" s="13">
        <f t="shared" si="25"/>
        <v>2</v>
      </c>
      <c r="AP9" s="16">
        <v>6</v>
      </c>
      <c r="AQ9" s="2">
        <f t="shared" si="26"/>
        <v>2</v>
      </c>
      <c r="AR9" s="13">
        <f t="shared" si="27"/>
        <v>4</v>
      </c>
      <c r="AS9" s="16">
        <v>3</v>
      </c>
      <c r="AT9" s="2">
        <f t="shared" si="28"/>
        <v>-1</v>
      </c>
      <c r="AU9" s="13">
        <f t="shared" si="35"/>
        <v>3</v>
      </c>
      <c r="AV9" s="16">
        <v>5</v>
      </c>
      <c r="AW9" s="2">
        <f t="shared" si="29"/>
        <v>1</v>
      </c>
      <c r="AX9" s="13">
        <f t="shared" si="30"/>
        <v>4</v>
      </c>
      <c r="AY9" s="16">
        <v>6</v>
      </c>
      <c r="AZ9" s="2">
        <f t="shared" si="31"/>
        <v>2</v>
      </c>
      <c r="BA9" s="13">
        <f t="shared" si="32"/>
        <v>6</v>
      </c>
      <c r="BB9" s="16">
        <v>5</v>
      </c>
      <c r="BC9" s="2">
        <f t="shared" si="33"/>
        <v>1</v>
      </c>
      <c r="BD9" s="13">
        <f t="shared" si="34"/>
        <v>7</v>
      </c>
      <c r="BF9" t="s">
        <v>21</v>
      </c>
      <c r="BG9" t="s">
        <v>22</v>
      </c>
      <c r="BH9" s="42"/>
      <c r="BI9">
        <v>6</v>
      </c>
      <c r="BJ9" s="37" t="s">
        <v>21</v>
      </c>
      <c r="BK9" s="37" t="s">
        <v>22</v>
      </c>
      <c r="BL9" s="43">
        <v>7</v>
      </c>
      <c r="BR9" s="40"/>
    </row>
    <row r="10" spans="1:70" x14ac:dyDescent="0.25">
      <c r="A10" t="s">
        <v>23</v>
      </c>
      <c r="B10" t="s">
        <v>24</v>
      </c>
      <c r="C10" s="16">
        <v>3</v>
      </c>
      <c r="D10" s="2">
        <f t="shared" ref="D10" si="36">IF(C10&lt;&gt;"",C10-$B$1,"")</f>
        <v>-1</v>
      </c>
      <c r="E10" s="13">
        <f t="shared" ref="E10" si="37">D10</f>
        <v>-1</v>
      </c>
      <c r="F10" s="16">
        <v>3</v>
      </c>
      <c r="G10" s="2">
        <f t="shared" ref="G10" si="38">IF(F10&lt;&gt;"",F10-$B$1,"")</f>
        <v>-1</v>
      </c>
      <c r="H10" s="13">
        <f t="shared" ref="H10" si="39">IF(F10&lt;&gt;"",E10+G10,"")</f>
        <v>-2</v>
      </c>
      <c r="I10" s="16">
        <v>2</v>
      </c>
      <c r="J10" s="2">
        <f t="shared" ref="J10" si="40">IF(I10&lt;&gt;"",I10-$B$1,"")</f>
        <v>-2</v>
      </c>
      <c r="K10" s="13">
        <f t="shared" ref="K10" si="41">IF(I10&lt;&gt;"",H10+J10,"")</f>
        <v>-4</v>
      </c>
      <c r="L10" s="16">
        <v>4</v>
      </c>
      <c r="M10" s="2">
        <f t="shared" ref="M10" si="42">IF(L10&lt;&gt;"",L10-$B$1,"")</f>
        <v>0</v>
      </c>
      <c r="N10" s="13">
        <f t="shared" ref="N10" si="43">IF(L10&lt;&gt;"",K10+M10,"")</f>
        <v>-4</v>
      </c>
      <c r="O10" s="16">
        <v>4</v>
      </c>
      <c r="P10" s="2">
        <f t="shared" ref="P10" si="44">IF(O10&lt;&gt;"",O10-$B$1,"")</f>
        <v>0</v>
      </c>
      <c r="Q10" s="13">
        <f t="shared" ref="Q10" si="45">IF(O10&lt;&gt;"",N10+P10,"")</f>
        <v>-4</v>
      </c>
      <c r="R10" s="16">
        <v>4</v>
      </c>
      <c r="S10" s="2">
        <f t="shared" ref="S10" si="46">IF(R10&lt;&gt;"",R10-$B$1,"")</f>
        <v>0</v>
      </c>
      <c r="T10" s="13">
        <f t="shared" ref="T10" si="47">IF(R10&lt;&gt;"",Q10+S10,"")</f>
        <v>-4</v>
      </c>
      <c r="U10" s="16">
        <v>4</v>
      </c>
      <c r="V10" s="2">
        <f t="shared" ref="V10" si="48">IF(U10&lt;&gt;"",U10-$B$1,"")</f>
        <v>0</v>
      </c>
      <c r="W10" s="13">
        <f t="shared" ref="W10" si="49">IF(U10&lt;&gt;"",T10+V10,"")</f>
        <v>-4</v>
      </c>
      <c r="X10" s="16">
        <v>4</v>
      </c>
      <c r="Y10" s="2">
        <f t="shared" ref="Y10" si="50">IF(X10&lt;&gt;"",X10-$B$1,"")</f>
        <v>0</v>
      </c>
      <c r="Z10" s="13">
        <f t="shared" ref="Z10" si="51">IF(X10&lt;&gt;"",W10+Y10,"")</f>
        <v>-4</v>
      </c>
      <c r="AA10" s="16">
        <v>3</v>
      </c>
      <c r="AB10" s="2">
        <f t="shared" ref="AB10" si="52">IF(AA10&lt;&gt;"",AA10-$B$1,"")</f>
        <v>-1</v>
      </c>
      <c r="AC10" s="13">
        <f t="shared" ref="AC10" si="53">IF(AA10&lt;&gt;"",Z10+AB10,"")</f>
        <v>-5</v>
      </c>
      <c r="AD10" s="16">
        <v>3</v>
      </c>
      <c r="AE10" s="2">
        <f t="shared" ref="AE10" si="54">IF(AD10&lt;&gt;"",AD10-$B$1,"")</f>
        <v>-1</v>
      </c>
      <c r="AF10" s="13">
        <f t="shared" ref="AF10" si="55">IF(AD10&lt;&gt;"",AC10+AE10,"")</f>
        <v>-6</v>
      </c>
      <c r="AG10" s="16">
        <v>5</v>
      </c>
      <c r="AH10" s="2">
        <f t="shared" ref="AH10" si="56">IF(AG10&lt;&gt;"",AG10-$B$1,"")</f>
        <v>1</v>
      </c>
      <c r="AI10" s="13">
        <f t="shared" ref="AI10" si="57">IF(AG10&lt;&gt;"",AF10+AH10,"")</f>
        <v>-5</v>
      </c>
      <c r="AJ10" s="16">
        <v>4</v>
      </c>
      <c r="AK10" s="2">
        <f t="shared" ref="AK10" si="58">IF(AJ10&lt;&gt;"",AJ10-$B$1,"")</f>
        <v>0</v>
      </c>
      <c r="AL10" s="13">
        <f t="shared" ref="AL10" si="59">IF(AJ10&lt;&gt;"",AI10+AK10,"")</f>
        <v>-5</v>
      </c>
      <c r="AM10" s="16">
        <v>4</v>
      </c>
      <c r="AN10" s="2">
        <f t="shared" ref="AN10" si="60">IF(AM10&lt;&gt;"",AM10-$B$1,"")</f>
        <v>0</v>
      </c>
      <c r="AO10" s="13">
        <f t="shared" ref="AO10" si="61">IF(AM10&lt;&gt;"",AL10+AN10,"")</f>
        <v>-5</v>
      </c>
      <c r="AP10" s="16">
        <v>6</v>
      </c>
      <c r="AQ10" s="2">
        <f t="shared" ref="AQ10" si="62">IF(AP10&lt;&gt;"",AP10-$B$1,"")</f>
        <v>2</v>
      </c>
      <c r="AR10" s="13">
        <f t="shared" ref="AR10" si="63">IF(AP10&lt;&gt;"",AO10+AQ10,"")</f>
        <v>-3</v>
      </c>
      <c r="AS10" s="16">
        <v>4</v>
      </c>
      <c r="AT10" s="2">
        <f t="shared" ref="AT10" si="64">IF(AS10&lt;&gt;"",AS10-$B$1,"")</f>
        <v>0</v>
      </c>
      <c r="AU10" s="13">
        <f t="shared" ref="AU10" si="65">IF(AS10&lt;&gt;"",AR10+AT10,"")</f>
        <v>-3</v>
      </c>
      <c r="AV10" s="16">
        <v>3</v>
      </c>
      <c r="AW10" s="2">
        <f t="shared" ref="AW10" si="66">IF(AV10&lt;&gt;"",AV10-$B$1,"")</f>
        <v>-1</v>
      </c>
      <c r="AX10" s="13">
        <f t="shared" ref="AX10" si="67">IF(AV10&lt;&gt;"",AU10+AW10,"")</f>
        <v>-4</v>
      </c>
      <c r="AY10" s="16">
        <v>2</v>
      </c>
      <c r="AZ10" s="2">
        <f t="shared" ref="AZ10" si="68">IF(AY10&lt;&gt;"",AY10-$B$1,"")</f>
        <v>-2</v>
      </c>
      <c r="BA10" s="13">
        <f t="shared" ref="BA10" si="69">IF(AY10&lt;&gt;"",AX10+AZ10,"")</f>
        <v>-6</v>
      </c>
      <c r="BB10" s="16">
        <v>3</v>
      </c>
      <c r="BC10" s="2">
        <f t="shared" ref="BC10" si="70">IF(BB10&lt;&gt;"",BB10-$B$1,"")</f>
        <v>-1</v>
      </c>
      <c r="BD10" s="13">
        <f t="shared" ref="BD10" si="71">IF(BB10&lt;&gt;"",BA10+BC10,"")</f>
        <v>-7</v>
      </c>
      <c r="BF10" t="s">
        <v>23</v>
      </c>
      <c r="BG10" t="s">
        <v>24</v>
      </c>
      <c r="BH10" s="42"/>
      <c r="BI10">
        <v>6</v>
      </c>
      <c r="BJ10" s="37" t="s">
        <v>15</v>
      </c>
      <c r="BK10" s="37" t="s">
        <v>16</v>
      </c>
      <c r="BL10" s="43">
        <v>9.0003999999999991</v>
      </c>
      <c r="BR10" s="40"/>
    </row>
    <row r="11" spans="1:70" x14ac:dyDescent="0.25">
      <c r="C11" s="16"/>
      <c r="E11" s="13"/>
      <c r="F11" s="32"/>
      <c r="H11" s="13"/>
      <c r="I11" s="32"/>
      <c r="K11" s="13"/>
      <c r="L11" s="32"/>
      <c r="N11" s="13"/>
      <c r="O11" s="32"/>
      <c r="Q11" s="13"/>
      <c r="R11" s="32"/>
      <c r="T11" s="13"/>
      <c r="U11" s="32"/>
      <c r="W11" s="13"/>
      <c r="X11" s="32"/>
      <c r="Z11" s="13"/>
      <c r="AA11" s="32"/>
      <c r="AC11" s="13"/>
      <c r="AD11" s="32"/>
      <c r="AF11" s="13"/>
      <c r="AG11" s="32"/>
      <c r="AI11" s="13"/>
      <c r="AJ11" s="32"/>
      <c r="AL11" s="13"/>
      <c r="AM11" s="32"/>
      <c r="AO11" s="13"/>
      <c r="AP11" s="32"/>
      <c r="AR11" s="13"/>
      <c r="AS11" s="32"/>
      <c r="AU11" s="13"/>
      <c r="AV11" s="32"/>
      <c r="AX11" s="13"/>
      <c r="AY11" s="32"/>
      <c r="BA11" s="13"/>
      <c r="BB11" s="32"/>
      <c r="BD11" s="13"/>
      <c r="BJ11" s="37"/>
      <c r="BK11" s="37"/>
      <c r="BL11" s="37"/>
      <c r="BR11" s="1"/>
    </row>
    <row r="12" spans="1:70" x14ac:dyDescent="0.25">
      <c r="C12" s="33"/>
      <c r="D12" s="34"/>
      <c r="E12" s="15"/>
      <c r="F12" s="35"/>
      <c r="G12" s="34"/>
      <c r="H12" s="15"/>
      <c r="I12" s="35"/>
      <c r="J12" s="34"/>
      <c r="K12" s="15"/>
      <c r="L12" s="35"/>
      <c r="M12" s="34"/>
      <c r="N12" s="15"/>
      <c r="O12" s="35"/>
      <c r="P12" s="34"/>
      <c r="Q12" s="15"/>
      <c r="R12" s="35"/>
      <c r="S12" s="34"/>
      <c r="T12" s="15"/>
      <c r="U12" s="35"/>
      <c r="V12" s="34"/>
      <c r="W12" s="15"/>
      <c r="X12" s="35"/>
      <c r="Y12" s="34"/>
      <c r="Z12" s="15"/>
      <c r="AA12" s="35"/>
      <c r="AB12" s="34"/>
      <c r="AC12" s="15"/>
      <c r="AD12" s="35"/>
      <c r="AE12" s="34"/>
      <c r="AF12" s="15"/>
      <c r="AG12" s="35"/>
      <c r="AH12" s="34"/>
      <c r="AI12" s="15"/>
      <c r="AJ12" s="35"/>
      <c r="AK12" s="34"/>
      <c r="AL12" s="15"/>
      <c r="AM12" s="35"/>
      <c r="AN12" s="34"/>
      <c r="AO12" s="15"/>
      <c r="AP12" s="35"/>
      <c r="AQ12" s="34"/>
      <c r="AR12" s="15"/>
      <c r="AS12" s="35"/>
      <c r="AT12" s="34"/>
      <c r="AU12" s="15"/>
      <c r="AV12" s="35"/>
      <c r="AW12" s="34"/>
      <c r="AX12" s="15"/>
      <c r="AY12" s="35"/>
      <c r="AZ12" s="34"/>
      <c r="BA12" s="15"/>
      <c r="BB12" s="35"/>
      <c r="BC12" s="34"/>
      <c r="BD12" s="15"/>
      <c r="BR12" s="1"/>
    </row>
    <row r="13" spans="1:70" x14ac:dyDescent="0.25">
      <c r="BR13" s="1"/>
    </row>
    <row r="14" spans="1:70" x14ac:dyDescent="0.25">
      <c r="B14" t="s">
        <v>25</v>
      </c>
      <c r="C14" s="3">
        <f>IF(COUNT(C4:C12)&gt;0,AVERAGE(C4:C12),"")</f>
        <v>3.5714285714285716</v>
      </c>
      <c r="D14" s="3"/>
      <c r="E14" s="3"/>
      <c r="F14" s="3">
        <f>IF(COUNT(F4:F12)&gt;0,AVERAGE(F4:F12),"")</f>
        <v>3.4285714285714284</v>
      </c>
      <c r="G14" s="3"/>
      <c r="H14" s="3"/>
      <c r="I14" s="3">
        <f>IF(COUNT(I4:I12)&gt;0,AVERAGE(I4:I12),"")</f>
        <v>3.5714285714285716</v>
      </c>
      <c r="J14" s="3"/>
      <c r="K14" s="3"/>
      <c r="L14" s="3">
        <f>IF(COUNT(L4:L12)&gt;0,AVERAGE(L4:L12),"")</f>
        <v>4</v>
      </c>
      <c r="M14" s="3"/>
      <c r="N14" s="3"/>
      <c r="O14" s="3">
        <f>IF(COUNT(O4:O12)&gt;0,AVERAGE(O4:O12),"")</f>
        <v>4.1428571428571432</v>
      </c>
      <c r="P14" s="3"/>
      <c r="Q14" s="3"/>
      <c r="R14" s="3">
        <f>IF(COUNT(R4:R12)&gt;0,AVERAGE(R4:R12),"")</f>
        <v>3.4285714285714284</v>
      </c>
      <c r="S14" s="3"/>
      <c r="T14" s="3"/>
      <c r="U14" s="3">
        <f>IF(COUNT(U4:U12)&gt;0,AVERAGE(U4:U12),"")</f>
        <v>4.4285857142857141</v>
      </c>
      <c r="V14" s="3"/>
      <c r="W14" s="3"/>
      <c r="X14" s="3">
        <f>IF(COUNT(X4:X12)&gt;0,AVERAGE(X4:X12),"")</f>
        <v>3.4285714285714284</v>
      </c>
      <c r="Y14" s="3"/>
      <c r="Z14" s="3"/>
      <c r="AA14" s="3">
        <f>IF(COUNT(AA4:AA12)&gt;0,AVERAGE(AA4:AA12),"")</f>
        <v>3.7142857142857144</v>
      </c>
      <c r="AB14" s="3"/>
      <c r="AC14" s="3"/>
      <c r="AD14" s="3">
        <f>IF(COUNT(AD4:AD12)&gt;0,AVERAGE(AD4:AD12),"")</f>
        <v>3.7142857142857144</v>
      </c>
      <c r="AE14" s="3"/>
      <c r="AF14" s="3"/>
      <c r="AG14" s="3">
        <f>IF(COUNT(AG4:AG12)&gt;0,AVERAGE(AG4:AG12),"")</f>
        <v>5.428585714285715</v>
      </c>
      <c r="AH14" s="3"/>
      <c r="AI14" s="3"/>
      <c r="AJ14" s="3">
        <f>IF(COUNT(AJ4:AJ12)&gt;0,AVERAGE(AJ4:AJ12),"")</f>
        <v>4.0000142857142853</v>
      </c>
      <c r="AK14" s="3"/>
      <c r="AL14" s="3"/>
      <c r="AM14" s="3">
        <f>IF(COUNT(AM4:AM12)&gt;0,AVERAGE(AM4:AM12),"")</f>
        <v>3.5714285714285716</v>
      </c>
      <c r="AN14" s="18"/>
      <c r="AO14" s="18"/>
      <c r="AP14" s="3">
        <f>IF(COUNT(AP4:AP12)&gt;0,AVERAGE(AP4:AP12),"")</f>
        <v>4.857157142857143</v>
      </c>
      <c r="AQ14" s="18"/>
      <c r="AR14" s="18"/>
      <c r="AS14" s="3">
        <f>IF(COUNT(AS4:AS12)&gt;0,AVERAGE(AS4:AS12),"")</f>
        <v>4.1428714285714285</v>
      </c>
      <c r="AT14" s="18"/>
      <c r="AU14" s="18"/>
      <c r="AV14" s="3">
        <f>IF(COUNT(AV4:AV12)&gt;0,AVERAGE(AV4:AV12),"")</f>
        <v>3.8571428571428572</v>
      </c>
      <c r="AW14" s="18"/>
      <c r="AX14" s="18"/>
      <c r="AY14" s="3">
        <f>IF(COUNT(AY4:AY12)&gt;0,AVERAGE(AY4:AY12),"")</f>
        <v>3.4285714285714284</v>
      </c>
      <c r="AZ14" s="18"/>
      <c r="BA14" s="18"/>
      <c r="BB14" s="3">
        <f>IF(COUNT(BB4:BB12)&gt;0,AVERAGE(BB4:BB12),"")</f>
        <v>4.1428571428571432</v>
      </c>
      <c r="BC14" s="18"/>
      <c r="BD14" s="18"/>
    </row>
    <row r="16" spans="1:70" x14ac:dyDescent="0.25">
      <c r="C16" s="6">
        <v>7.0000999999999998</v>
      </c>
      <c r="D16" s="7" t="s">
        <v>26</v>
      </c>
    </row>
    <row r="17" spans="3:56" x14ac:dyDescent="0.25">
      <c r="C17" s="8">
        <v>6.9999000000000002</v>
      </c>
      <c r="D17" s="7" t="s">
        <v>27</v>
      </c>
      <c r="AA17" s="6">
        <v>7.0000999999999998</v>
      </c>
      <c r="AB17" s="7" t="s">
        <v>26</v>
      </c>
    </row>
    <row r="18" spans="3:56" x14ac:dyDescent="0.25">
      <c r="C18" s="2"/>
      <c r="D18" s="7"/>
      <c r="F18" s="2"/>
      <c r="AA18" s="8">
        <v>6.9999000000000002</v>
      </c>
      <c r="AB18" s="7" t="s">
        <v>27</v>
      </c>
    </row>
    <row r="19" spans="3:56" x14ac:dyDescent="0.25">
      <c r="D19" s="10"/>
      <c r="E19" s="10"/>
      <c r="G19" s="10"/>
      <c r="H19" s="10"/>
      <c r="J19" s="10"/>
      <c r="K19" s="10"/>
      <c r="M19" s="10"/>
      <c r="N19" s="10"/>
      <c r="P19" s="10"/>
      <c r="Q19" s="10"/>
      <c r="S19" s="10"/>
      <c r="T19" s="10"/>
      <c r="V19" s="10"/>
      <c r="W19" s="10"/>
      <c r="Y19" s="10"/>
      <c r="Z19" s="10"/>
      <c r="AB19" s="10"/>
      <c r="AC19" s="10"/>
      <c r="AE19" s="10"/>
      <c r="AF19" s="10"/>
      <c r="AH19" s="10"/>
      <c r="AI19" s="10"/>
      <c r="AK19" s="10"/>
      <c r="AL19" s="10"/>
      <c r="AO19" s="10"/>
      <c r="AQ19" s="10"/>
      <c r="AR19" s="10"/>
      <c r="AT19" s="10"/>
      <c r="AU19" s="10"/>
      <c r="AW19" s="10"/>
      <c r="AX19" s="10"/>
      <c r="AZ19" s="10"/>
      <c r="BA19" s="10"/>
      <c r="BC19" s="10"/>
      <c r="BD19" s="10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E22" s="7"/>
      <c r="G22" s="7"/>
      <c r="H22" s="7"/>
      <c r="J22" s="7"/>
      <c r="K22" s="7"/>
      <c r="M22" s="7"/>
      <c r="N22" s="7"/>
      <c r="P22" s="7"/>
      <c r="Q22" s="7"/>
      <c r="S22" s="7"/>
      <c r="T22" s="7"/>
      <c r="V22" s="7"/>
      <c r="W22" s="7"/>
      <c r="Y22" s="7"/>
      <c r="Z22" s="7"/>
      <c r="AB22" s="7"/>
      <c r="AC22" s="7"/>
      <c r="AE22" s="7"/>
      <c r="AF22" s="7"/>
      <c r="AH22" s="7"/>
      <c r="AI22" s="7"/>
      <c r="AK22" s="7"/>
      <c r="AL22" s="7"/>
      <c r="AO22" s="7"/>
      <c r="AQ22" s="7"/>
      <c r="AR22" s="7"/>
      <c r="AT22" s="7"/>
      <c r="AU22" s="7"/>
      <c r="AW22" s="7"/>
      <c r="AX22" s="7"/>
      <c r="AZ22" s="7"/>
      <c r="BA22" s="7"/>
      <c r="BC22" s="7"/>
      <c r="BD22" s="7"/>
    </row>
    <row r="23" spans="3:56" x14ac:dyDescent="0.25">
      <c r="D23" s="7"/>
      <c r="G23" s="7"/>
      <c r="J23" s="7"/>
      <c r="M23" s="7"/>
      <c r="P23" s="7"/>
      <c r="S23" s="7"/>
      <c r="V23" s="7"/>
      <c r="Y23" s="7"/>
      <c r="AB23" s="7"/>
      <c r="AE23" s="7"/>
      <c r="AH23" s="7"/>
      <c r="AK23" s="7"/>
      <c r="AQ23" s="7"/>
      <c r="AT23" s="7"/>
      <c r="AW23" s="7"/>
      <c r="AZ23" s="7"/>
      <c r="BC23" s="7"/>
    </row>
    <row r="25" spans="3:56" x14ac:dyDescent="0.25">
      <c r="D25" s="4"/>
      <c r="E25" s="4"/>
      <c r="G25" s="4"/>
      <c r="H25" s="4"/>
      <c r="J25" s="4"/>
      <c r="K25" s="4"/>
      <c r="M25" s="4"/>
      <c r="N25" s="4"/>
      <c r="P25" s="4"/>
      <c r="Q25" s="4"/>
      <c r="S25" s="4"/>
      <c r="T25" s="4"/>
      <c r="V25" s="4"/>
      <c r="W25" s="4"/>
      <c r="Y25" s="4"/>
      <c r="Z25" s="4"/>
      <c r="AB25" s="4"/>
      <c r="AC25" s="4"/>
      <c r="AE25" s="4"/>
      <c r="AF25" s="4"/>
      <c r="AH25" s="4"/>
      <c r="AI25" s="4"/>
      <c r="AK25" s="4"/>
      <c r="AL25" s="4"/>
      <c r="AO25" s="4"/>
      <c r="AQ25" s="4"/>
      <c r="AR25" s="4"/>
      <c r="AT25" s="4"/>
      <c r="AU25" s="4"/>
      <c r="AW25" s="4"/>
      <c r="AX25" s="4"/>
      <c r="AZ25" s="4"/>
      <c r="BA25" s="4"/>
      <c r="BC25" s="4"/>
      <c r="BD25" s="4"/>
    </row>
    <row r="26" spans="3:56" x14ac:dyDescent="0.25">
      <c r="D26" s="5"/>
      <c r="E26" s="5"/>
      <c r="G26" s="5"/>
      <c r="H26" s="5"/>
      <c r="J26" s="5"/>
      <c r="K26" s="5"/>
      <c r="M26" s="5"/>
      <c r="N26" s="5"/>
      <c r="P26" s="5"/>
      <c r="Q26" s="5"/>
      <c r="S26" s="5"/>
      <c r="T26" s="5"/>
      <c r="V26" s="5"/>
      <c r="W26" s="5"/>
      <c r="Y26" s="5"/>
      <c r="Z26" s="5"/>
      <c r="AB26" s="5"/>
      <c r="AC26" s="5"/>
      <c r="AE26" s="5"/>
      <c r="AF26" s="5"/>
      <c r="AH26" s="5"/>
      <c r="AI26" s="5"/>
      <c r="AK26" s="5"/>
      <c r="AL26" s="5"/>
      <c r="AO26" s="5"/>
      <c r="AQ26" s="5"/>
      <c r="AR26" s="5"/>
      <c r="AT26" s="5"/>
      <c r="AU26" s="5"/>
      <c r="AW26" s="5"/>
      <c r="AX26" s="5"/>
      <c r="AZ26" s="5"/>
      <c r="BA26" s="5"/>
      <c r="BC26" s="5"/>
      <c r="BD26" s="5"/>
    </row>
    <row r="51" spans="4:56" x14ac:dyDescent="0.25">
      <c r="D51" s="11"/>
      <c r="E51" s="11"/>
      <c r="G51" s="11"/>
      <c r="H51" s="11"/>
      <c r="J51" s="11"/>
      <c r="K51" s="11"/>
      <c r="M51" s="11"/>
      <c r="N51" s="11"/>
      <c r="P51" s="11"/>
      <c r="Q51" s="11"/>
      <c r="S51" s="11"/>
      <c r="T51" s="11"/>
      <c r="V51" s="11"/>
      <c r="W51" s="11"/>
      <c r="Y51" s="11"/>
      <c r="Z51" s="11"/>
      <c r="AB51" s="11"/>
      <c r="AC51" s="11"/>
      <c r="AE51" s="11"/>
      <c r="AF51" s="11"/>
      <c r="AH51" s="11"/>
      <c r="AI51" s="11"/>
      <c r="AK51" s="11"/>
      <c r="AL51" s="11"/>
      <c r="AN51" s="11"/>
      <c r="AO51" s="11"/>
      <c r="AQ51" s="11"/>
      <c r="AR51" s="11"/>
      <c r="AT51" s="11"/>
      <c r="AU51" s="11"/>
      <c r="AW51" s="11"/>
      <c r="AX51" s="11"/>
      <c r="AZ51" s="11"/>
      <c r="BA51" s="11"/>
      <c r="BC51" s="11"/>
      <c r="BD51" s="11"/>
    </row>
    <row r="52" spans="4:56" x14ac:dyDescent="0.25">
      <c r="D52" s="10"/>
      <c r="E52" s="10"/>
      <c r="G52" s="10"/>
      <c r="H52" s="10"/>
      <c r="J52" s="10"/>
      <c r="K52" s="10"/>
      <c r="M52" s="10"/>
      <c r="N52" s="10"/>
      <c r="P52" s="10"/>
      <c r="Q52" s="10"/>
      <c r="S52" s="10"/>
      <c r="T52" s="10"/>
      <c r="V52" s="10"/>
      <c r="W52" s="10"/>
      <c r="Y52" s="10"/>
      <c r="Z52" s="10"/>
      <c r="AB52" s="10"/>
      <c r="AC52" s="10"/>
      <c r="AE52" s="10"/>
      <c r="AF52" s="10"/>
      <c r="AH52" s="10"/>
      <c r="AI52" s="10"/>
      <c r="AK52" s="10"/>
      <c r="AL52" s="10"/>
      <c r="AN52" s="10"/>
      <c r="AO52" s="10"/>
      <c r="AQ52" s="10"/>
      <c r="AR52" s="10"/>
      <c r="AT52" s="10"/>
      <c r="AU52" s="10"/>
      <c r="AW52" s="10"/>
      <c r="AX52" s="10"/>
      <c r="AZ52" s="10"/>
      <c r="BA52" s="10"/>
      <c r="BC52" s="10"/>
      <c r="BD52" s="10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</sheetData>
  <sortState xmlns:xlrd2="http://schemas.microsoft.com/office/spreadsheetml/2017/richdata2" ref="BJ4:BL10">
    <sortCondition ref="BL4:BL10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102-8A07-4B91-BCBE-99BE432F8127}">
  <sheetPr codeName="Sheet15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45058</v>
      </c>
      <c r="D1" s="53"/>
      <c r="E1" s="54"/>
      <c r="F1" s="52">
        <f>C1+1</f>
        <v>45059</v>
      </c>
      <c r="G1" s="53"/>
      <c r="H1" s="54"/>
      <c r="I1" s="52">
        <f>F1+1</f>
        <v>45060</v>
      </c>
      <c r="J1" s="53"/>
      <c r="K1" s="54"/>
      <c r="L1" s="52">
        <f>I1+1</f>
        <v>45061</v>
      </c>
      <c r="M1" s="53"/>
      <c r="N1" s="54"/>
      <c r="O1" s="52">
        <f>L1+1</f>
        <v>45062</v>
      </c>
      <c r="P1" s="53"/>
      <c r="Q1" s="54"/>
      <c r="R1" s="52">
        <f>O1+1</f>
        <v>45063</v>
      </c>
      <c r="S1" s="53"/>
      <c r="T1" s="54"/>
      <c r="U1" s="52">
        <f>R1+1</f>
        <v>45064</v>
      </c>
      <c r="V1" s="53"/>
      <c r="W1" s="54"/>
      <c r="X1" s="52">
        <f>U1+1</f>
        <v>45065</v>
      </c>
      <c r="Y1" s="53"/>
      <c r="Z1" s="54"/>
      <c r="AA1" s="52">
        <f>X1+1</f>
        <v>45066</v>
      </c>
      <c r="AB1" s="53"/>
      <c r="AC1" s="54"/>
      <c r="AD1" s="52">
        <f>AA1+1</f>
        <v>45067</v>
      </c>
      <c r="AE1" s="53"/>
      <c r="AF1" s="54"/>
      <c r="AG1" s="52">
        <f>AD1+1</f>
        <v>45068</v>
      </c>
      <c r="AH1" s="53"/>
      <c r="AI1" s="54"/>
      <c r="AJ1" s="52">
        <f>AG1+1</f>
        <v>45069</v>
      </c>
      <c r="AK1" s="53"/>
      <c r="AL1" s="54"/>
      <c r="AM1" s="52">
        <f>AJ1+1</f>
        <v>45070</v>
      </c>
      <c r="AN1" s="53"/>
      <c r="AO1" s="54"/>
      <c r="AP1" s="52">
        <f>AM1+1</f>
        <v>45071</v>
      </c>
      <c r="AQ1" s="53"/>
      <c r="AR1" s="54"/>
      <c r="AS1" s="52">
        <f>AP1+1</f>
        <v>45072</v>
      </c>
      <c r="AT1" s="53"/>
      <c r="AU1" s="54"/>
      <c r="AV1" s="52">
        <f>AS1+1</f>
        <v>45073</v>
      </c>
      <c r="AW1" s="53"/>
      <c r="AX1" s="54"/>
      <c r="AY1" s="52">
        <f>AV1+1</f>
        <v>45074</v>
      </c>
      <c r="AZ1" s="53"/>
      <c r="BA1" s="54"/>
      <c r="BB1" s="52">
        <f>AY1+1</f>
        <v>45075</v>
      </c>
      <c r="BC1" s="53"/>
      <c r="BD1" s="54"/>
    </row>
    <row r="2" spans="1:70" x14ac:dyDescent="0.25">
      <c r="B2" s="9" t="s">
        <v>1</v>
      </c>
      <c r="C2" s="49">
        <v>692</v>
      </c>
      <c r="D2" s="50"/>
      <c r="E2" s="51"/>
      <c r="F2" s="49">
        <f>C2+1</f>
        <v>693</v>
      </c>
      <c r="G2" s="50"/>
      <c r="H2" s="51"/>
      <c r="I2" s="49">
        <f>F2+1</f>
        <v>694</v>
      </c>
      <c r="J2" s="50"/>
      <c r="K2" s="51"/>
      <c r="L2" s="49">
        <f>I2+1</f>
        <v>695</v>
      </c>
      <c r="M2" s="50"/>
      <c r="N2" s="51"/>
      <c r="O2" s="49">
        <f>L2+1</f>
        <v>696</v>
      </c>
      <c r="P2" s="50"/>
      <c r="Q2" s="51"/>
      <c r="R2" s="49">
        <f>O2+1</f>
        <v>697</v>
      </c>
      <c r="S2" s="50"/>
      <c r="T2" s="51"/>
      <c r="U2" s="49">
        <f>R2+1</f>
        <v>698</v>
      </c>
      <c r="V2" s="50"/>
      <c r="W2" s="51"/>
      <c r="X2" s="49">
        <f>U2+1</f>
        <v>699</v>
      </c>
      <c r="Y2" s="50"/>
      <c r="Z2" s="51"/>
      <c r="AA2" s="49">
        <f>X2+1</f>
        <v>700</v>
      </c>
      <c r="AB2" s="50"/>
      <c r="AC2" s="51"/>
      <c r="AD2" s="49">
        <f>AA2+1</f>
        <v>701</v>
      </c>
      <c r="AE2" s="50"/>
      <c r="AF2" s="51"/>
      <c r="AG2" s="49">
        <f>AD2+1</f>
        <v>702</v>
      </c>
      <c r="AH2" s="50"/>
      <c r="AI2" s="51"/>
      <c r="AJ2" s="49">
        <f>AG2+1</f>
        <v>703</v>
      </c>
      <c r="AK2" s="50"/>
      <c r="AL2" s="51"/>
      <c r="AM2" s="49">
        <f>AJ2+1</f>
        <v>704</v>
      </c>
      <c r="AN2" s="50"/>
      <c r="AO2" s="51"/>
      <c r="AP2" s="49">
        <f>AM2+1</f>
        <v>705</v>
      </c>
      <c r="AQ2" s="50"/>
      <c r="AR2" s="51"/>
      <c r="AS2" s="49">
        <f>AP2+1</f>
        <v>706</v>
      </c>
      <c r="AT2" s="50"/>
      <c r="AU2" s="51"/>
      <c r="AV2" s="49">
        <f>AS2+1</f>
        <v>707</v>
      </c>
      <c r="AW2" s="50"/>
      <c r="AX2" s="51"/>
      <c r="AY2" s="49">
        <f>AV2+1</f>
        <v>708</v>
      </c>
      <c r="AZ2" s="50"/>
      <c r="BA2" s="51"/>
      <c r="BB2" s="49">
        <f>AY2+1</f>
        <v>709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4</v>
      </c>
      <c r="J4" s="18">
        <f>IF(I4&lt;&gt;"",I4-$B$1,"")</f>
        <v>0</v>
      </c>
      <c r="K4" s="13">
        <f>IF(I4&lt;&gt;"",H4+J4,"")</f>
        <v>1</v>
      </c>
      <c r="L4" s="38">
        <v>3</v>
      </c>
      <c r="M4" s="18">
        <f>IF(L4&lt;&gt;"",L4-$B$1,"")</f>
        <v>-1</v>
      </c>
      <c r="N4" s="13">
        <f>IF(L4&lt;&gt;"",K4+M4,"")</f>
        <v>0</v>
      </c>
      <c r="O4" s="38">
        <v>4</v>
      </c>
      <c r="P4" s="18">
        <f>IF(O4&lt;&gt;"",O4-$B$1,"")</f>
        <v>0</v>
      </c>
      <c r="Q4" s="13">
        <f>IF(O4&lt;&gt;"",N4+P4,"")</f>
        <v>0</v>
      </c>
      <c r="R4" s="38">
        <v>3</v>
      </c>
      <c r="S4" s="18">
        <f>IF(R4&lt;&gt;"",R4-$B$1,"")</f>
        <v>-1</v>
      </c>
      <c r="T4" s="13">
        <f>IF(R4&lt;&gt;"",Q4+S4,"")</f>
        <v>-1</v>
      </c>
      <c r="U4" s="38">
        <v>5</v>
      </c>
      <c r="V4" s="18">
        <f>IF(U4&lt;&gt;"",U4-$B$1,"")</f>
        <v>1</v>
      </c>
      <c r="W4" s="13">
        <f>IF(U4&lt;&gt;"",T4+V4,"")</f>
        <v>0</v>
      </c>
      <c r="X4" s="38">
        <v>4</v>
      </c>
      <c r="Y4" s="18">
        <f>IF(X4&lt;&gt;"",X4-$B$1,"")</f>
        <v>0</v>
      </c>
      <c r="Z4" s="13">
        <f>IF(X4&lt;&gt;"",W4+Y4,"")</f>
        <v>0</v>
      </c>
      <c r="AA4" s="38">
        <v>4</v>
      </c>
      <c r="AB4" s="18">
        <f>IF(AA4&lt;&gt;"",AA4-$B$1,"")</f>
        <v>0</v>
      </c>
      <c r="AC4" s="13">
        <f>IF(AA4&lt;&gt;"",Z4+AB4,"")</f>
        <v>0</v>
      </c>
      <c r="AD4" s="38">
        <v>4</v>
      </c>
      <c r="AE4" s="18">
        <f>IF(AD4&lt;&gt;"",AD4-$B$1,"")</f>
        <v>0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38">
        <v>4</v>
      </c>
      <c r="AK4" s="18">
        <f>IF(AJ4&lt;&gt;"",AJ4-$B$1,"")</f>
        <v>0</v>
      </c>
      <c r="AL4" s="13">
        <f>IF(AJ4&lt;&gt;"",AI4+AK4,"")</f>
        <v>1</v>
      </c>
      <c r="AM4" s="38">
        <v>4</v>
      </c>
      <c r="AN4" s="18">
        <f>IF(AM4&lt;&gt;"",AM4-$B$1,"")</f>
        <v>0</v>
      </c>
      <c r="AO4" s="13">
        <f>IF(AM4&lt;&gt;"",AL4+AN4,"")</f>
        <v>1</v>
      </c>
      <c r="AP4" s="38">
        <v>4</v>
      </c>
      <c r="AQ4" s="18">
        <f>IF(AP4&lt;&gt;"",AP4-$B$1,"")</f>
        <v>0</v>
      </c>
      <c r="AR4" s="13">
        <f>IF(AP4&lt;&gt;"",AO4+AQ4,"")</f>
        <v>1</v>
      </c>
      <c r="AS4" s="38">
        <v>3</v>
      </c>
      <c r="AT4" s="18">
        <f>IF(AS4&lt;&gt;"",AS4-$B$1,"")</f>
        <v>-1</v>
      </c>
      <c r="AU4" s="13">
        <f>IF(AS4&lt;&gt;"",AR4+AT4,"")</f>
        <v>0</v>
      </c>
      <c r="AV4" s="38">
        <v>4</v>
      </c>
      <c r="AW4" s="18">
        <f>IF(AV4&lt;&gt;"",AV4-$B$1,"")</f>
        <v>0</v>
      </c>
      <c r="AX4" s="13">
        <f>IF(AV4&lt;&gt;"",AU4+AW4,"")</f>
        <v>0</v>
      </c>
      <c r="AY4" s="38">
        <v>4</v>
      </c>
      <c r="AZ4" s="18">
        <f>IF(AY4&lt;&gt;"",AY4-$B$1,"")</f>
        <v>0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11</v>
      </c>
      <c r="B5" t="s">
        <v>12</v>
      </c>
      <c r="C5" s="16">
        <v>4</v>
      </c>
      <c r="D5" s="2">
        <f t="shared" ref="D5:D9" si="0">IF(C5&lt;&gt;"",C5-$B$1,"")</f>
        <v>0</v>
      </c>
      <c r="E5" s="13">
        <f t="shared" ref="E5:E9" si="1">D5</f>
        <v>0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0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0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0</v>
      </c>
      <c r="O5" s="16">
        <v>5</v>
      </c>
      <c r="P5" s="2">
        <f t="shared" ref="P5:P9" si="8">IF(O5&lt;&gt;"",O5-$B$1,"")</f>
        <v>1</v>
      </c>
      <c r="Q5" s="13">
        <f t="shared" ref="Q5:Q9" si="9">IF(O5&lt;&gt;"",N5+P5,"")</f>
        <v>1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2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3</v>
      </c>
      <c r="X5" s="6">
        <v>7.0000999999999998</v>
      </c>
      <c r="Y5" s="2">
        <f t="shared" ref="Y5:Y9" si="14">IF(X5&lt;&gt;"",X5-$B$1,"")</f>
        <v>3.0000999999999998</v>
      </c>
      <c r="Z5" s="13">
        <f t="shared" ref="Z5:Z9" si="15">IF(X5&lt;&gt;"",W5+Y5,"")</f>
        <v>6.0000999999999998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7.0000999999999998</v>
      </c>
      <c r="AD5" s="16">
        <v>5</v>
      </c>
      <c r="AE5" s="2">
        <f t="shared" ref="AE5:AE9" si="18">IF(AD5&lt;&gt;"",AD5-$B$1,"")</f>
        <v>1</v>
      </c>
      <c r="AF5" s="13">
        <f t="shared" ref="AF5:AF8" si="19">IF(AD5&lt;&gt;"",AC5+AE5,"")</f>
        <v>8.0000999999999998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8.0000999999999998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7.0000999999999998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7.0000999999999998</v>
      </c>
      <c r="AP5" s="16">
        <v>4</v>
      </c>
      <c r="AQ5" s="2">
        <f t="shared" ref="AQ5:AQ9" si="26">IF(AP5&lt;&gt;"",AP5-$B$1,"")</f>
        <v>0</v>
      </c>
      <c r="AR5" s="13">
        <f t="shared" ref="AR5:AR7" si="27">IF(AP5&lt;&gt;"",AO5+AQ5,"")</f>
        <v>7.0000999999999998</v>
      </c>
      <c r="AS5" s="16">
        <v>5</v>
      </c>
      <c r="AT5" s="2">
        <f t="shared" ref="AT5:AT8" si="28">IF(AS5&lt;&gt;"",AS5-$B$1,"")</f>
        <v>1</v>
      </c>
      <c r="AU5" s="13">
        <f>IF(AS5&lt;&gt;"",AR5+AT5,"")</f>
        <v>8.0000999999999998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9.0000999999999998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9.0000999999999998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8.0000999999999998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2</v>
      </c>
      <c r="G6" s="2">
        <f t="shared" si="2"/>
        <v>-2</v>
      </c>
      <c r="H6" s="13">
        <f t="shared" si="3"/>
        <v>-2</v>
      </c>
      <c r="I6" s="16">
        <v>5</v>
      </c>
      <c r="J6" s="2">
        <f t="shared" si="4"/>
        <v>1</v>
      </c>
      <c r="K6" s="13">
        <f t="shared" si="5"/>
        <v>-1</v>
      </c>
      <c r="L6" s="16">
        <v>5</v>
      </c>
      <c r="M6" s="2">
        <f t="shared" si="6"/>
        <v>1</v>
      </c>
      <c r="N6" s="13">
        <f t="shared" si="7"/>
        <v>0</v>
      </c>
      <c r="O6" s="16">
        <v>4</v>
      </c>
      <c r="P6" s="2">
        <f t="shared" si="8"/>
        <v>0</v>
      </c>
      <c r="Q6" s="13">
        <f t="shared" si="9"/>
        <v>0</v>
      </c>
      <c r="R6" s="16">
        <v>3</v>
      </c>
      <c r="S6" s="2">
        <f t="shared" si="10"/>
        <v>-1</v>
      </c>
      <c r="T6" s="13">
        <f t="shared" si="11"/>
        <v>-1</v>
      </c>
      <c r="U6" s="6">
        <v>7.0000999999999998</v>
      </c>
      <c r="V6" s="2">
        <f t="shared" si="12"/>
        <v>3.0000999999999998</v>
      </c>
      <c r="W6" s="13">
        <f t="shared" si="13"/>
        <v>2.0000999999999998</v>
      </c>
      <c r="X6" s="6">
        <v>7.0000999999999998</v>
      </c>
      <c r="Y6" s="2">
        <f t="shared" si="14"/>
        <v>3.0000999999999998</v>
      </c>
      <c r="Z6" s="13">
        <f t="shared" si="15"/>
        <v>5.0001999999999995</v>
      </c>
      <c r="AA6" s="16">
        <v>5</v>
      </c>
      <c r="AB6" s="2">
        <f t="shared" si="16"/>
        <v>1</v>
      </c>
      <c r="AC6" s="13">
        <f t="shared" si="17"/>
        <v>6.0001999999999995</v>
      </c>
      <c r="AD6" s="16">
        <v>4</v>
      </c>
      <c r="AE6" s="2">
        <f t="shared" si="18"/>
        <v>0</v>
      </c>
      <c r="AF6" s="13">
        <f t="shared" si="19"/>
        <v>6.0001999999999995</v>
      </c>
      <c r="AG6" s="16">
        <v>3</v>
      </c>
      <c r="AH6" s="2">
        <f t="shared" si="20"/>
        <v>-1</v>
      </c>
      <c r="AI6" s="13">
        <f t="shared" si="21"/>
        <v>5.0001999999999995</v>
      </c>
      <c r="AJ6" s="16">
        <v>4</v>
      </c>
      <c r="AK6" s="2">
        <f t="shared" si="22"/>
        <v>0</v>
      </c>
      <c r="AL6" s="13">
        <f t="shared" si="23"/>
        <v>5.0001999999999995</v>
      </c>
      <c r="AM6" s="16">
        <v>5</v>
      </c>
      <c r="AN6" s="2">
        <f t="shared" si="24"/>
        <v>1</v>
      </c>
      <c r="AO6" s="13">
        <f t="shared" si="25"/>
        <v>6.0001999999999995</v>
      </c>
      <c r="AP6" s="16">
        <v>4</v>
      </c>
      <c r="AQ6" s="2">
        <f t="shared" si="26"/>
        <v>0</v>
      </c>
      <c r="AR6" s="13">
        <f>IF(AP6&lt;&gt;"",AO6+AQ6,"")</f>
        <v>6.0001999999999995</v>
      </c>
      <c r="AS6" s="6">
        <v>7.0000999999999998</v>
      </c>
      <c r="AT6" s="2">
        <f t="shared" si="28"/>
        <v>3.0000999999999998</v>
      </c>
      <c r="AU6" s="13">
        <f t="shared" ref="AU6:AU8" si="35">IF(AS6&lt;&gt;"",AR6+AT6,"")</f>
        <v>9.0002999999999993</v>
      </c>
      <c r="AV6" s="16">
        <v>6</v>
      </c>
      <c r="AW6" s="2">
        <f t="shared" si="29"/>
        <v>2</v>
      </c>
      <c r="AX6" s="13">
        <f t="shared" si="30"/>
        <v>11.000299999999999</v>
      </c>
      <c r="AY6" s="16">
        <v>4</v>
      </c>
      <c r="AZ6" s="2">
        <f t="shared" si="31"/>
        <v>0</v>
      </c>
      <c r="BA6" s="13">
        <f t="shared" si="32"/>
        <v>11.000299999999999</v>
      </c>
      <c r="BB6" s="16">
        <v>4</v>
      </c>
      <c r="BC6" s="2">
        <f t="shared" si="33"/>
        <v>0</v>
      </c>
      <c r="BD6" s="13">
        <f t="shared" si="34"/>
        <v>11.000299999999999</v>
      </c>
      <c r="BF6" t="s">
        <v>15</v>
      </c>
      <c r="BG6" t="s">
        <v>16</v>
      </c>
      <c r="BH6" s="42"/>
      <c r="BI6">
        <v>7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2</v>
      </c>
      <c r="G7" s="2">
        <f t="shared" si="2"/>
        <v>-2</v>
      </c>
      <c r="H7" s="13">
        <f t="shared" si="3"/>
        <v>-2</v>
      </c>
      <c r="I7" s="16">
        <v>4</v>
      </c>
      <c r="J7" s="2">
        <f t="shared" si="4"/>
        <v>0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5</v>
      </c>
      <c r="V7" s="2">
        <f t="shared" si="12"/>
        <v>1</v>
      </c>
      <c r="W7" s="13">
        <f t="shared" si="13"/>
        <v>-2</v>
      </c>
      <c r="X7" s="16">
        <v>3</v>
      </c>
      <c r="Y7" s="2">
        <f t="shared" si="14"/>
        <v>-1</v>
      </c>
      <c r="Z7" s="13">
        <f t="shared" si="15"/>
        <v>-3</v>
      </c>
      <c r="AA7" s="16">
        <v>4</v>
      </c>
      <c r="AB7" s="2">
        <f t="shared" si="16"/>
        <v>0</v>
      </c>
      <c r="AC7" s="13">
        <f t="shared" si="17"/>
        <v>-3</v>
      </c>
      <c r="AD7" s="16">
        <v>3</v>
      </c>
      <c r="AE7" s="2">
        <f t="shared" si="18"/>
        <v>-1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3</v>
      </c>
      <c r="AN7" s="2">
        <f t="shared" si="24"/>
        <v>-1</v>
      </c>
      <c r="AO7" s="13">
        <f t="shared" si="25"/>
        <v>-5</v>
      </c>
      <c r="AP7" s="16">
        <v>3</v>
      </c>
      <c r="AQ7" s="2">
        <f t="shared" si="26"/>
        <v>-1</v>
      </c>
      <c r="AR7" s="13">
        <f t="shared" si="27"/>
        <v>-6</v>
      </c>
      <c r="AS7" s="8">
        <v>6.9999000000000002</v>
      </c>
      <c r="AT7" s="2">
        <f t="shared" si="28"/>
        <v>2.9999000000000002</v>
      </c>
      <c r="AU7" s="13">
        <f>IF(AS7&lt;&gt;"",AR7+AT7,"")</f>
        <v>-3.0000999999999998</v>
      </c>
      <c r="AV7" s="16">
        <v>6</v>
      </c>
      <c r="AW7" s="2">
        <f t="shared" si="29"/>
        <v>2</v>
      </c>
      <c r="AX7" s="13">
        <f t="shared" si="30"/>
        <v>-1.0000999999999998</v>
      </c>
      <c r="AY7" s="16">
        <v>4</v>
      </c>
      <c r="AZ7" s="2">
        <f t="shared" si="31"/>
        <v>0</v>
      </c>
      <c r="BA7" s="13">
        <f t="shared" si="32"/>
        <v>-1.0000999999999998</v>
      </c>
      <c r="BB7" s="16">
        <v>5</v>
      </c>
      <c r="BC7" s="2">
        <f t="shared" si="33"/>
        <v>1</v>
      </c>
      <c r="BD7" s="13">
        <f t="shared" si="34"/>
        <v>-9.9999999999766942E-5</v>
      </c>
      <c r="BF7" t="s">
        <v>19</v>
      </c>
      <c r="BG7" t="s">
        <v>20</v>
      </c>
      <c r="BH7" s="42"/>
      <c r="BI7">
        <v>10</v>
      </c>
      <c r="BJ7" s="37"/>
      <c r="BK7" s="37"/>
      <c r="BL7" s="41"/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2</v>
      </c>
      <c r="P8" s="2">
        <f t="shared" si="8"/>
        <v>-2</v>
      </c>
      <c r="Q8" s="13">
        <f t="shared" si="9"/>
        <v>-2</v>
      </c>
      <c r="R8" s="16">
        <v>2</v>
      </c>
      <c r="S8" s="2">
        <f t="shared" si="10"/>
        <v>-2</v>
      </c>
      <c r="T8" s="13">
        <f t="shared" si="11"/>
        <v>-4</v>
      </c>
      <c r="U8" s="16">
        <v>4</v>
      </c>
      <c r="V8" s="2">
        <f t="shared" si="12"/>
        <v>0</v>
      </c>
      <c r="W8" s="13">
        <f t="shared" si="13"/>
        <v>-4</v>
      </c>
      <c r="X8" s="16">
        <v>4</v>
      </c>
      <c r="Y8" s="2">
        <f t="shared" si="14"/>
        <v>0</v>
      </c>
      <c r="Z8" s="13">
        <f t="shared" si="15"/>
        <v>-4</v>
      </c>
      <c r="AA8" s="16">
        <v>5</v>
      </c>
      <c r="AB8" s="2">
        <f t="shared" si="16"/>
        <v>1</v>
      </c>
      <c r="AC8" s="13">
        <f t="shared" si="17"/>
        <v>-3</v>
      </c>
      <c r="AD8" s="16">
        <v>4</v>
      </c>
      <c r="AE8" s="2">
        <f t="shared" si="18"/>
        <v>0</v>
      </c>
      <c r="AF8" s="13">
        <f t="shared" si="19"/>
        <v>-3</v>
      </c>
      <c r="AG8" s="16">
        <v>5</v>
      </c>
      <c r="AH8" s="2">
        <f t="shared" si="20"/>
        <v>1</v>
      </c>
      <c r="AI8" s="13">
        <f t="shared" si="21"/>
        <v>-2</v>
      </c>
      <c r="AJ8" s="16">
        <v>4</v>
      </c>
      <c r="AK8" s="2">
        <f t="shared" si="22"/>
        <v>0</v>
      </c>
      <c r="AL8" s="13">
        <f t="shared" si="23"/>
        <v>-2</v>
      </c>
      <c r="AM8" s="16">
        <v>3</v>
      </c>
      <c r="AN8" s="2">
        <f t="shared" si="24"/>
        <v>-1</v>
      </c>
      <c r="AO8" s="13">
        <f t="shared" si="25"/>
        <v>-3</v>
      </c>
      <c r="AP8" s="16">
        <v>4</v>
      </c>
      <c r="AQ8" s="2">
        <f t="shared" si="26"/>
        <v>0</v>
      </c>
      <c r="AR8" s="13">
        <f>IF(AP8&lt;&gt;"",AO8+AQ8,"")</f>
        <v>-3</v>
      </c>
      <c r="AS8" s="16">
        <v>4</v>
      </c>
      <c r="AT8" s="2">
        <f t="shared" si="28"/>
        <v>0</v>
      </c>
      <c r="AU8" s="13">
        <f t="shared" si="35"/>
        <v>-3</v>
      </c>
      <c r="AV8" s="16">
        <v>4</v>
      </c>
      <c r="AW8" s="2">
        <f t="shared" si="29"/>
        <v>0</v>
      </c>
      <c r="AX8" s="13">
        <f t="shared" si="30"/>
        <v>-3</v>
      </c>
      <c r="AY8" s="16">
        <v>3</v>
      </c>
      <c r="AZ8" s="2">
        <f t="shared" si="31"/>
        <v>-1</v>
      </c>
      <c r="BA8" s="13">
        <f t="shared" si="32"/>
        <v>-4</v>
      </c>
      <c r="BB8" s="16">
        <v>4</v>
      </c>
      <c r="BC8" s="2">
        <f t="shared" si="33"/>
        <v>0</v>
      </c>
      <c r="BD8" s="13">
        <f t="shared" si="34"/>
        <v>-4</v>
      </c>
      <c r="BF8" t="s">
        <v>21</v>
      </c>
      <c r="BG8" t="s">
        <v>22</v>
      </c>
      <c r="BH8" s="42"/>
      <c r="BJ8" s="37"/>
      <c r="BK8" s="37"/>
      <c r="BL8" s="41" t="s">
        <v>28</v>
      </c>
      <c r="BR8" s="40"/>
    </row>
    <row r="9" spans="1:70" x14ac:dyDescent="0.2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4</v>
      </c>
      <c r="G9" s="2">
        <f t="shared" si="2"/>
        <v>0</v>
      </c>
      <c r="H9" s="13">
        <f t="shared" si="3"/>
        <v>1</v>
      </c>
      <c r="I9" s="16">
        <v>4</v>
      </c>
      <c r="J9" s="2">
        <f t="shared" si="4"/>
        <v>0</v>
      </c>
      <c r="K9" s="13">
        <f t="shared" si="5"/>
        <v>1</v>
      </c>
      <c r="L9" s="16">
        <v>3</v>
      </c>
      <c r="M9" s="2">
        <f t="shared" si="6"/>
        <v>-1</v>
      </c>
      <c r="N9" s="13">
        <f t="shared" si="7"/>
        <v>0</v>
      </c>
      <c r="O9" s="16">
        <v>5</v>
      </c>
      <c r="P9" s="2">
        <f t="shared" si="8"/>
        <v>1</v>
      </c>
      <c r="Q9" s="13">
        <f t="shared" si="9"/>
        <v>1</v>
      </c>
      <c r="R9" s="16">
        <v>4</v>
      </c>
      <c r="S9" s="2">
        <f t="shared" si="10"/>
        <v>0</v>
      </c>
      <c r="T9" s="13">
        <f t="shared" si="11"/>
        <v>1</v>
      </c>
      <c r="U9" s="16">
        <v>5</v>
      </c>
      <c r="V9" s="2">
        <f t="shared" si="12"/>
        <v>1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3</v>
      </c>
      <c r="AE9" s="2">
        <f t="shared" si="18"/>
        <v>-1</v>
      </c>
      <c r="AF9" s="13">
        <f>IF(AD9&lt;&gt;"",AC9+AE9,"")</f>
        <v>1</v>
      </c>
      <c r="AG9" s="16">
        <v>3</v>
      </c>
      <c r="AH9" s="2">
        <f t="shared" si="20"/>
        <v>-1</v>
      </c>
      <c r="AI9" s="13">
        <f t="shared" si="21"/>
        <v>0</v>
      </c>
      <c r="AJ9" s="16">
        <v>4</v>
      </c>
      <c r="AK9" s="2">
        <f t="shared" si="22"/>
        <v>0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>IF(AP9&lt;&gt;"",AO9+AQ9,"")</f>
        <v>-1</v>
      </c>
      <c r="AS9" s="16">
        <v>4</v>
      </c>
      <c r="AT9" s="2">
        <f>IF(AS9&lt;&gt;"",AS9-$B$1,"")</f>
        <v>0</v>
      </c>
      <c r="AU9" s="13">
        <f>IF(AS9&lt;&gt;"",AR9+AT9,"")</f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23</v>
      </c>
      <c r="BG9" t="s">
        <v>24</v>
      </c>
      <c r="BH9" s="42"/>
      <c r="BJ9" s="37"/>
      <c r="BK9" s="37"/>
      <c r="BL9" s="41" t="s">
        <v>28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4.166666666666667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3.3333333333333335</v>
      </c>
      <c r="S13" s="3"/>
      <c r="T13" s="3"/>
      <c r="U13" s="3">
        <f>IF(COUNT(U4:U11)&gt;0,AVERAGE(U4:U11),"")</f>
        <v>5.1666833333333333</v>
      </c>
      <c r="V13" s="3"/>
      <c r="W13" s="3"/>
      <c r="X13" s="3">
        <f>IF(COUNT(X4:X11)&gt;0,AVERAGE(X4:X11),"")</f>
        <v>4.8333666666666666</v>
      </c>
      <c r="Y13" s="3"/>
      <c r="Z13" s="3"/>
      <c r="AA13" s="3">
        <f>IF(COUNT(AA4:AA11)&gt;0,AVERAGE(AA4:AA11),"")</f>
        <v>4.5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4</v>
      </c>
      <c r="AH13" s="3"/>
      <c r="AI13" s="3"/>
      <c r="AJ13" s="3">
        <f>IF(COUNT(AJ4:AJ11)&gt;0,AVERAGE(AJ4:AJ11),"")</f>
        <v>3.8333333333333335</v>
      </c>
      <c r="AK13" s="3"/>
      <c r="AL13" s="3"/>
      <c r="AM13" s="3">
        <f>IF(COUNT(AM4:AM11)&gt;0,AVERAGE(AM4:AM11),"")</f>
        <v>3.8333333333333335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5</v>
      </c>
      <c r="AT13" s="18"/>
      <c r="AU13" s="18"/>
      <c r="AV13" s="3">
        <f>IF(COUNT(AV4:AV11)&gt;0,AVERAGE(AV4:AV11),"")</f>
        <v>4.833333333333333</v>
      </c>
      <c r="AW13" s="18"/>
      <c r="AX13" s="18"/>
      <c r="AY13" s="3">
        <f>IF(COUNT(AY4:AY11)&gt;0,AVERAGE(AY4:AY11),"")</f>
        <v>3.8333333333333335</v>
      </c>
      <c r="AZ13" s="18"/>
      <c r="BA13" s="18"/>
      <c r="BB13" s="3">
        <f>IF(COUNT(BB4:BB11)&gt;0,AVERAGE(BB4:BB11),"")</f>
        <v>3.8333333333333335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6E95-F5B3-4347-B4E2-28FB939EE46B}">
  <sheetPr codeName="Sheet10"/>
  <dimension ref="A1:BR60"/>
  <sheetViews>
    <sheetView zoomScale="96" zoomScaleNormal="96" workbookViewId="0">
      <pane xSplit="2" ySplit="2" topLeftCell="AT3" activePane="bottomRight" state="frozen"/>
      <selection pane="topRight" activeCell="C1" sqref="C1"/>
      <selection pane="bottomLeft" activeCell="A3" sqref="A3"/>
      <selection pane="bottomRight" activeCell="BG14" sqref="BG1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45009</v>
      </c>
      <c r="D1" s="53"/>
      <c r="E1" s="54"/>
      <c r="F1" s="52">
        <f>C1+1</f>
        <v>45010</v>
      </c>
      <c r="G1" s="53"/>
      <c r="H1" s="54"/>
      <c r="I1" s="52">
        <f>F1+1</f>
        <v>45011</v>
      </c>
      <c r="J1" s="53"/>
      <c r="K1" s="54"/>
      <c r="L1" s="52">
        <f>I1+1</f>
        <v>45012</v>
      </c>
      <c r="M1" s="53"/>
      <c r="N1" s="54"/>
      <c r="O1" s="52">
        <f>L1+1</f>
        <v>45013</v>
      </c>
      <c r="P1" s="53"/>
      <c r="Q1" s="54"/>
      <c r="R1" s="52">
        <f>O1+1</f>
        <v>45014</v>
      </c>
      <c r="S1" s="53"/>
      <c r="T1" s="54"/>
      <c r="U1" s="52">
        <f>R1+1</f>
        <v>45015</v>
      </c>
      <c r="V1" s="53"/>
      <c r="W1" s="54"/>
      <c r="X1" s="52">
        <f>U1+1</f>
        <v>45016</v>
      </c>
      <c r="Y1" s="53"/>
      <c r="Z1" s="54"/>
      <c r="AA1" s="52">
        <f>X1+1</f>
        <v>45017</v>
      </c>
      <c r="AB1" s="53"/>
      <c r="AC1" s="54"/>
      <c r="AD1" s="52">
        <f>AA1+1</f>
        <v>45018</v>
      </c>
      <c r="AE1" s="53"/>
      <c r="AF1" s="54"/>
      <c r="AG1" s="52">
        <f>AD1+1</f>
        <v>45019</v>
      </c>
      <c r="AH1" s="53"/>
      <c r="AI1" s="54"/>
      <c r="AJ1" s="52">
        <f>AG1+1</f>
        <v>45020</v>
      </c>
      <c r="AK1" s="53"/>
      <c r="AL1" s="54"/>
      <c r="AM1" s="52">
        <f>AJ1+1</f>
        <v>45021</v>
      </c>
      <c r="AN1" s="53"/>
      <c r="AO1" s="54"/>
      <c r="AP1" s="52">
        <f>AM1+1</f>
        <v>45022</v>
      </c>
      <c r="AQ1" s="53"/>
      <c r="AR1" s="54"/>
      <c r="AS1" s="52">
        <f>AP1+1</f>
        <v>45023</v>
      </c>
      <c r="AT1" s="53"/>
      <c r="AU1" s="54"/>
      <c r="AV1" s="52">
        <f>AS1+1</f>
        <v>45024</v>
      </c>
      <c r="AW1" s="53"/>
      <c r="AX1" s="54"/>
      <c r="AY1" s="52">
        <f>AV1+1</f>
        <v>45025</v>
      </c>
      <c r="AZ1" s="53"/>
      <c r="BA1" s="54"/>
      <c r="BB1" s="52">
        <f>AY1+1</f>
        <v>45026</v>
      </c>
      <c r="BC1" s="53"/>
      <c r="BD1" s="54"/>
    </row>
    <row r="2" spans="1:70" x14ac:dyDescent="0.25">
      <c r="B2" s="9" t="s">
        <v>1</v>
      </c>
      <c r="C2" s="49">
        <v>643</v>
      </c>
      <c r="D2" s="50"/>
      <c r="E2" s="51"/>
      <c r="F2" s="49">
        <f>C2+1</f>
        <v>644</v>
      </c>
      <c r="G2" s="50"/>
      <c r="H2" s="51"/>
      <c r="I2" s="49">
        <f>F2+1</f>
        <v>645</v>
      </c>
      <c r="J2" s="50"/>
      <c r="K2" s="51"/>
      <c r="L2" s="49">
        <f>I2+1</f>
        <v>646</v>
      </c>
      <c r="M2" s="50"/>
      <c r="N2" s="51"/>
      <c r="O2" s="49">
        <f>L2+1</f>
        <v>647</v>
      </c>
      <c r="P2" s="50"/>
      <c r="Q2" s="51"/>
      <c r="R2" s="49">
        <f>O2+1</f>
        <v>648</v>
      </c>
      <c r="S2" s="50"/>
      <c r="T2" s="51"/>
      <c r="U2" s="49">
        <f>R2+1</f>
        <v>649</v>
      </c>
      <c r="V2" s="50"/>
      <c r="W2" s="51"/>
      <c r="X2" s="49">
        <f>U2+1</f>
        <v>650</v>
      </c>
      <c r="Y2" s="50"/>
      <c r="Z2" s="51"/>
      <c r="AA2" s="49">
        <f>X2+1</f>
        <v>651</v>
      </c>
      <c r="AB2" s="50"/>
      <c r="AC2" s="51"/>
      <c r="AD2" s="49">
        <f>AA2+1</f>
        <v>652</v>
      </c>
      <c r="AE2" s="50"/>
      <c r="AF2" s="51"/>
      <c r="AG2" s="49">
        <f>AD2+1</f>
        <v>653</v>
      </c>
      <c r="AH2" s="50"/>
      <c r="AI2" s="51"/>
      <c r="AJ2" s="49">
        <f>AG2+1</f>
        <v>654</v>
      </c>
      <c r="AK2" s="50"/>
      <c r="AL2" s="51"/>
      <c r="AM2" s="49">
        <f>AJ2+1</f>
        <v>655</v>
      </c>
      <c r="AN2" s="50"/>
      <c r="AO2" s="51"/>
      <c r="AP2" s="49">
        <f>AM2+1</f>
        <v>656</v>
      </c>
      <c r="AQ2" s="50"/>
      <c r="AR2" s="51"/>
      <c r="AS2" s="49">
        <f>AP2+1</f>
        <v>657</v>
      </c>
      <c r="AT2" s="50"/>
      <c r="AU2" s="51"/>
      <c r="AV2" s="49">
        <f>AS2+1</f>
        <v>658</v>
      </c>
      <c r="AW2" s="50"/>
      <c r="AX2" s="51"/>
      <c r="AY2" s="49">
        <f>AV2+1</f>
        <v>659</v>
      </c>
      <c r="AZ2" s="50"/>
      <c r="BA2" s="51"/>
      <c r="BB2" s="49">
        <f>AY2+1</f>
        <v>660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2</v>
      </c>
      <c r="J4" s="18">
        <f>IF(I4&lt;&gt;"",I4-$B$1,"")</f>
        <v>-2</v>
      </c>
      <c r="K4" s="13">
        <f>IF(I4&lt;&gt;"",H4+J4,"")</f>
        <v>-4</v>
      </c>
      <c r="L4" s="38">
        <v>4</v>
      </c>
      <c r="M4" s="18">
        <f>IF(L4&lt;&gt;"",L4-$B$1,"")</f>
        <v>0</v>
      </c>
      <c r="N4" s="13">
        <f>IF(L4&lt;&gt;"",K4+M4,"")</f>
        <v>-4</v>
      </c>
      <c r="O4" s="38">
        <v>4</v>
      </c>
      <c r="P4" s="18">
        <f>IF(O4&lt;&gt;"",O4-$B$1,"")</f>
        <v>0</v>
      </c>
      <c r="Q4" s="13">
        <f>IF(O4&lt;&gt;"",N4+P4,"")</f>
        <v>-4</v>
      </c>
      <c r="R4" s="38">
        <v>4</v>
      </c>
      <c r="S4" s="18">
        <f>IF(R4&lt;&gt;"",R4-$B$1,"")</f>
        <v>0</v>
      </c>
      <c r="T4" s="13">
        <f>IF(R4&lt;&gt;"",Q4+S4,"")</f>
        <v>-4</v>
      </c>
      <c r="U4" s="38">
        <v>5</v>
      </c>
      <c r="V4" s="18">
        <f>IF(U4&lt;&gt;"",U4-$B$1,"")</f>
        <v>1</v>
      </c>
      <c r="W4" s="13">
        <f>IF(U4&lt;&gt;"",T4+V4,"")</f>
        <v>-3</v>
      </c>
      <c r="X4" s="38">
        <v>5</v>
      </c>
      <c r="Y4" s="18">
        <f>IF(X4&lt;&gt;"",X4-$B$1,"")</f>
        <v>1</v>
      </c>
      <c r="Z4" s="13">
        <f>IF(X4&lt;&gt;"",W4+Y4,"")</f>
        <v>-2</v>
      </c>
      <c r="AA4" s="38">
        <v>6</v>
      </c>
      <c r="AB4" s="18">
        <f>IF(AA4&lt;&gt;"",AA4-$B$1,"")</f>
        <v>2</v>
      </c>
      <c r="AC4" s="13">
        <f>IF(AA4&lt;&gt;"",Z4+AB4,"")</f>
        <v>0</v>
      </c>
      <c r="AD4" s="38">
        <v>3</v>
      </c>
      <c r="AE4" s="18">
        <f>IF(AD4&lt;&gt;"",AD4-$B$1,"")</f>
        <v>-1</v>
      </c>
      <c r="AF4" s="13">
        <f>IF(AD4&lt;&gt;"",AC4+AE4,"")</f>
        <v>-1</v>
      </c>
      <c r="AG4" s="38">
        <v>4</v>
      </c>
      <c r="AH4" s="18">
        <f>IF(AG4&lt;&gt;"",AG4-$B$1,"")</f>
        <v>0</v>
      </c>
      <c r="AI4" s="13">
        <f>IF(AG4&lt;&gt;"",AF4+AH4,"")</f>
        <v>-1</v>
      </c>
      <c r="AJ4" s="38">
        <v>4</v>
      </c>
      <c r="AK4" s="18">
        <f>IF(AJ4&lt;&gt;"",AJ4-$B$1,"")</f>
        <v>0</v>
      </c>
      <c r="AL4" s="13">
        <f>IF(AJ4&lt;&gt;"",AI4+AK4,"")</f>
        <v>-1</v>
      </c>
      <c r="AM4" s="38">
        <v>5</v>
      </c>
      <c r="AN4" s="18">
        <f>IF(AM4&lt;&gt;"",AM4-$B$1,"")</f>
        <v>1</v>
      </c>
      <c r="AO4" s="13">
        <f>IF(AM4&lt;&gt;"",AL4+AN4,"")</f>
        <v>0</v>
      </c>
      <c r="AP4" s="38">
        <v>3</v>
      </c>
      <c r="AQ4" s="18">
        <f>IF(AP4&lt;&gt;"",AP4-$B$1,"")</f>
        <v>-1</v>
      </c>
      <c r="AR4" s="13">
        <f>IF(AP4&lt;&gt;"",AO4+AQ4,"")</f>
        <v>-1</v>
      </c>
      <c r="AS4" s="38">
        <v>4</v>
      </c>
      <c r="AT4" s="18">
        <f>IF(AS4&lt;&gt;"",AS4-$B$1,"")</f>
        <v>0</v>
      </c>
      <c r="AU4" s="13">
        <f>IF(AS4&lt;&gt;"",AR4+AT4,"")</f>
        <v>-1</v>
      </c>
      <c r="AV4" s="38">
        <v>6</v>
      </c>
      <c r="AW4" s="18">
        <f>IF(AV4&lt;&gt;"",AV4-$B$1,"")</f>
        <v>2</v>
      </c>
      <c r="AX4" s="13">
        <f>IF(AV4&lt;&gt;"",AU4+AW4,"")</f>
        <v>1</v>
      </c>
      <c r="AY4" s="38">
        <v>5</v>
      </c>
      <c r="AZ4" s="18">
        <f>IF(AY4&lt;&gt;"",AY4-$B$1,"")</f>
        <v>1</v>
      </c>
      <c r="BA4" s="13">
        <f>IF(AY4&lt;&gt;"",AX4+AZ4,"")</f>
        <v>2</v>
      </c>
      <c r="BB4" s="38">
        <v>4</v>
      </c>
      <c r="BC4" s="18">
        <f>IF(BB4&lt;&gt;"",BB4-$B$1,"")</f>
        <v>0</v>
      </c>
      <c r="BD4" s="13">
        <f>IF(BB4&lt;&gt;"",BA4+BC4,"")</f>
        <v>2</v>
      </c>
      <c r="BF4" t="s">
        <v>9</v>
      </c>
      <c r="BG4" t="s">
        <v>10</v>
      </c>
      <c r="BH4" s="42">
        <v>2</v>
      </c>
      <c r="BI4">
        <v>1</v>
      </c>
      <c r="BJ4" s="37" t="s">
        <v>23</v>
      </c>
      <c r="BK4" s="37" t="s">
        <v>24</v>
      </c>
      <c r="BL4" s="41">
        <v>-5</v>
      </c>
      <c r="BR4" s="40"/>
    </row>
    <row r="5" spans="1:70" x14ac:dyDescent="0.25">
      <c r="A5" t="s">
        <v>11</v>
      </c>
      <c r="B5" t="s">
        <v>12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0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-1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0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6</v>
      </c>
      <c r="V5" s="2">
        <f t="shared" ref="V5:V9" si="12">IF(U5&lt;&gt;"",U5-$B$1,"")</f>
        <v>2</v>
      </c>
      <c r="W5" s="13">
        <f t="shared" ref="W5:W9" si="13">IF(U5&lt;&gt;"",T5+V5,"")</f>
        <v>0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-1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-2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-3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-2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-2</v>
      </c>
      <c r="AS5" s="16">
        <v>5</v>
      </c>
      <c r="AT5" s="2">
        <f t="shared" ref="AT5:AT9" si="28">IF(AS5&lt;&gt;"",AS5-$B$1,"")</f>
        <v>1</v>
      </c>
      <c r="AU5" s="13">
        <f>IF(AS5&lt;&gt;"",AR5+AT5,"")</f>
        <v>-1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-2</v>
      </c>
      <c r="AY5" s="16">
        <v>3</v>
      </c>
      <c r="AZ5" s="2">
        <f t="shared" ref="AZ5:AZ9" si="31">IF(AY5&lt;&gt;"",AY5-$B$1,"")</f>
        <v>-1</v>
      </c>
      <c r="BA5" s="13">
        <f t="shared" ref="BA5:BA9" si="32">IF(AY5&lt;&gt;"",AX5+AZ5,"")</f>
        <v>-3</v>
      </c>
      <c r="BB5" s="16">
        <v>2</v>
      </c>
      <c r="BC5" s="2">
        <f t="shared" ref="BC5:BC9" si="33">IF(BB5&lt;&gt;"",BB5-$B$1,"")</f>
        <v>-2</v>
      </c>
      <c r="BD5" s="13">
        <f t="shared" ref="BD5:BD9" si="34">IF(BB5&lt;&gt;"",BA5+BC5,"")</f>
        <v>-5</v>
      </c>
      <c r="BF5" t="s">
        <v>11</v>
      </c>
      <c r="BG5" t="s">
        <v>12</v>
      </c>
      <c r="BH5" s="42">
        <v>-5</v>
      </c>
      <c r="BI5">
        <v>2</v>
      </c>
      <c r="BJ5" s="37" t="s">
        <v>11</v>
      </c>
      <c r="BK5" s="37" t="s">
        <v>12</v>
      </c>
      <c r="BL5" s="41">
        <v>-5</v>
      </c>
      <c r="BR5" s="40"/>
    </row>
    <row r="6" spans="1:70" x14ac:dyDescent="0.2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3</v>
      </c>
      <c r="J6" s="2">
        <f t="shared" si="4"/>
        <v>-1</v>
      </c>
      <c r="K6" s="13">
        <f t="shared" si="5"/>
        <v>-1</v>
      </c>
      <c r="L6" s="16">
        <v>2</v>
      </c>
      <c r="M6" s="2">
        <f t="shared" si="6"/>
        <v>-2</v>
      </c>
      <c r="N6" s="13">
        <f t="shared" si="7"/>
        <v>-3</v>
      </c>
      <c r="O6" s="16">
        <v>4</v>
      </c>
      <c r="P6" s="2">
        <f t="shared" si="8"/>
        <v>0</v>
      </c>
      <c r="Q6" s="13">
        <f t="shared" si="9"/>
        <v>-3</v>
      </c>
      <c r="R6" s="16">
        <v>5</v>
      </c>
      <c r="S6" s="2">
        <f t="shared" si="10"/>
        <v>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5</v>
      </c>
      <c r="AB6" s="2">
        <f t="shared" si="16"/>
        <v>1</v>
      </c>
      <c r="AC6" s="13">
        <f t="shared" si="17"/>
        <v>-1</v>
      </c>
      <c r="AD6" s="16">
        <v>4</v>
      </c>
      <c r="AE6" s="2">
        <f t="shared" si="18"/>
        <v>0</v>
      </c>
      <c r="AF6" s="13">
        <f t="shared" si="19"/>
        <v>-1</v>
      </c>
      <c r="AG6" s="16">
        <v>3</v>
      </c>
      <c r="AH6" s="2">
        <f t="shared" si="20"/>
        <v>-1</v>
      </c>
      <c r="AI6" s="13">
        <f t="shared" si="21"/>
        <v>-2</v>
      </c>
      <c r="AJ6" s="16">
        <v>2</v>
      </c>
      <c r="AK6" s="2">
        <f t="shared" si="22"/>
        <v>-2</v>
      </c>
      <c r="AL6" s="13">
        <f t="shared" si="23"/>
        <v>-4</v>
      </c>
      <c r="AM6" s="16">
        <v>6</v>
      </c>
      <c r="AN6" s="2">
        <f t="shared" si="24"/>
        <v>2</v>
      </c>
      <c r="AO6" s="13">
        <f t="shared" si="25"/>
        <v>-2</v>
      </c>
      <c r="AP6" s="16">
        <v>6</v>
      </c>
      <c r="AQ6" s="2">
        <f t="shared" si="26"/>
        <v>2</v>
      </c>
      <c r="AR6" s="13">
        <f>IF(AP6&lt;&gt;"",AO6+AQ6,"")</f>
        <v>0</v>
      </c>
      <c r="AS6" s="16">
        <v>4</v>
      </c>
      <c r="AT6" s="2">
        <f t="shared" si="28"/>
        <v>0</v>
      </c>
      <c r="AU6" s="13">
        <f t="shared" ref="AU6:AU9" si="35">IF(AS6&lt;&gt;"",AR6+AT6,"")</f>
        <v>0</v>
      </c>
      <c r="AV6" s="16">
        <v>6</v>
      </c>
      <c r="AW6" s="2">
        <f t="shared" si="29"/>
        <v>2</v>
      </c>
      <c r="AX6" s="13">
        <f t="shared" si="30"/>
        <v>2</v>
      </c>
      <c r="AY6" s="16">
        <v>5</v>
      </c>
      <c r="AZ6" s="2">
        <f t="shared" si="31"/>
        <v>1</v>
      </c>
      <c r="BA6" s="13">
        <f t="shared" si="32"/>
        <v>3</v>
      </c>
      <c r="BB6" s="16">
        <v>2</v>
      </c>
      <c r="BC6" s="2">
        <f t="shared" si="33"/>
        <v>-2</v>
      </c>
      <c r="BD6" s="13">
        <f t="shared" si="34"/>
        <v>1</v>
      </c>
      <c r="BF6" t="s">
        <v>15</v>
      </c>
      <c r="BG6" t="s">
        <v>16</v>
      </c>
      <c r="BH6" s="42">
        <v>1</v>
      </c>
      <c r="BI6">
        <v>3</v>
      </c>
      <c r="BJ6" s="37" t="s">
        <v>15</v>
      </c>
      <c r="BK6" s="37" t="s">
        <v>16</v>
      </c>
      <c r="BL6" s="41">
        <v>1</v>
      </c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6</v>
      </c>
      <c r="P7" s="2">
        <f t="shared" si="8"/>
        <v>2</v>
      </c>
      <c r="Q7" s="13">
        <f t="shared" si="9"/>
        <v>1</v>
      </c>
      <c r="R7" s="16">
        <v>4</v>
      </c>
      <c r="S7" s="2">
        <f t="shared" si="10"/>
        <v>0</v>
      </c>
      <c r="T7" s="13">
        <f t="shared" si="11"/>
        <v>1</v>
      </c>
      <c r="U7" s="16">
        <v>5</v>
      </c>
      <c r="V7" s="2">
        <f t="shared" si="12"/>
        <v>1</v>
      </c>
      <c r="W7" s="13">
        <f t="shared" si="13"/>
        <v>2</v>
      </c>
      <c r="X7" s="16">
        <v>4</v>
      </c>
      <c r="Y7" s="2">
        <f t="shared" si="14"/>
        <v>0</v>
      </c>
      <c r="Z7" s="13">
        <f t="shared" si="15"/>
        <v>2</v>
      </c>
      <c r="AA7" s="6">
        <v>7.0000999999999998</v>
      </c>
      <c r="AB7" s="2">
        <f t="shared" si="16"/>
        <v>3.0000999999999998</v>
      </c>
      <c r="AC7" s="13">
        <f t="shared" si="17"/>
        <v>5.0000999999999998</v>
      </c>
      <c r="AD7" s="16">
        <v>4</v>
      </c>
      <c r="AE7" s="2">
        <f>IF(AD7&lt;&gt;"",AD7-$B$1,"")</f>
        <v>0</v>
      </c>
      <c r="AF7" s="13">
        <f>IF(AD7&lt;&gt;"",AC7+AE7,"")</f>
        <v>5.0000999999999998</v>
      </c>
      <c r="AG7" s="16">
        <v>4</v>
      </c>
      <c r="AH7" s="2">
        <f t="shared" si="20"/>
        <v>0</v>
      </c>
      <c r="AI7" s="13">
        <f t="shared" si="21"/>
        <v>5.0000999999999998</v>
      </c>
      <c r="AJ7" s="16">
        <v>3</v>
      </c>
      <c r="AK7" s="2">
        <f t="shared" si="22"/>
        <v>-1</v>
      </c>
      <c r="AL7" s="13">
        <f t="shared" si="23"/>
        <v>4.0000999999999998</v>
      </c>
      <c r="AM7" s="16">
        <v>4</v>
      </c>
      <c r="AN7" s="2">
        <f t="shared" si="24"/>
        <v>0</v>
      </c>
      <c r="AO7" s="13">
        <f t="shared" si="25"/>
        <v>4.0000999999999998</v>
      </c>
      <c r="AP7" s="16">
        <v>4</v>
      </c>
      <c r="AQ7" s="2">
        <f t="shared" si="26"/>
        <v>0</v>
      </c>
      <c r="AR7" s="13">
        <f t="shared" si="27"/>
        <v>4.0000999999999998</v>
      </c>
      <c r="AS7" s="16">
        <v>5</v>
      </c>
      <c r="AT7" s="2">
        <f t="shared" si="28"/>
        <v>1</v>
      </c>
      <c r="AU7" s="13">
        <f>IF(AS7&lt;&gt;"",AR7+AT7,"")</f>
        <v>5.0000999999999998</v>
      </c>
      <c r="AV7" s="16">
        <v>3</v>
      </c>
      <c r="AW7" s="2">
        <f t="shared" si="29"/>
        <v>-1</v>
      </c>
      <c r="AX7" s="13">
        <f t="shared" si="30"/>
        <v>4.0000999999999998</v>
      </c>
      <c r="AY7" s="16">
        <v>4</v>
      </c>
      <c r="AZ7" s="2">
        <f t="shared" si="31"/>
        <v>0</v>
      </c>
      <c r="BA7" s="13">
        <f t="shared" si="32"/>
        <v>4.0000999999999998</v>
      </c>
      <c r="BB7" s="16">
        <v>6</v>
      </c>
      <c r="BC7" s="2">
        <f t="shared" si="33"/>
        <v>2</v>
      </c>
      <c r="BD7" s="13">
        <f t="shared" si="34"/>
        <v>6.0000999999999998</v>
      </c>
      <c r="BF7" t="s">
        <v>19</v>
      </c>
      <c r="BG7" t="s">
        <v>20</v>
      </c>
      <c r="BH7" s="42">
        <v>6.0000999999999998</v>
      </c>
      <c r="BI7">
        <v>4</v>
      </c>
      <c r="BJ7" s="37" t="s">
        <v>9</v>
      </c>
      <c r="BK7" s="37" t="s">
        <v>10</v>
      </c>
      <c r="BL7" s="41">
        <v>2</v>
      </c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4</v>
      </c>
      <c r="J8" s="2">
        <f t="shared" si="4"/>
        <v>0</v>
      </c>
      <c r="K8" s="13">
        <f t="shared" si="5"/>
        <v>0</v>
      </c>
      <c r="L8" s="8">
        <v>6.9999000000000002</v>
      </c>
      <c r="M8" s="2">
        <f t="shared" si="6"/>
        <v>2.9999000000000002</v>
      </c>
      <c r="N8" s="13">
        <f t="shared" si="7"/>
        <v>2.9999000000000002</v>
      </c>
      <c r="O8" s="16">
        <v>6</v>
      </c>
      <c r="P8" s="2">
        <f t="shared" si="8"/>
        <v>2</v>
      </c>
      <c r="Q8" s="13">
        <f t="shared" si="9"/>
        <v>4.9999000000000002</v>
      </c>
      <c r="R8" s="16">
        <v>3</v>
      </c>
      <c r="S8" s="2">
        <f t="shared" si="10"/>
        <v>-1</v>
      </c>
      <c r="T8" s="13">
        <f t="shared" si="11"/>
        <v>3.9999000000000002</v>
      </c>
      <c r="U8" s="16">
        <v>5</v>
      </c>
      <c r="V8" s="2">
        <f t="shared" si="12"/>
        <v>1</v>
      </c>
      <c r="W8" s="13">
        <f t="shared" si="13"/>
        <v>4.9999000000000002</v>
      </c>
      <c r="X8" s="16">
        <v>3</v>
      </c>
      <c r="Y8" s="2">
        <f t="shared" si="14"/>
        <v>-1</v>
      </c>
      <c r="Z8" s="13">
        <f t="shared" si="15"/>
        <v>3.9999000000000002</v>
      </c>
      <c r="AA8" s="16">
        <v>5</v>
      </c>
      <c r="AB8" s="2">
        <f t="shared" si="16"/>
        <v>1</v>
      </c>
      <c r="AC8" s="13">
        <f t="shared" si="17"/>
        <v>4.9999000000000002</v>
      </c>
      <c r="AD8" s="8">
        <v>6.9999000000000002</v>
      </c>
      <c r="AE8" s="2">
        <f t="shared" si="18"/>
        <v>2.9999000000000002</v>
      </c>
      <c r="AF8" s="13">
        <f t="shared" si="19"/>
        <v>7.9998000000000005</v>
      </c>
      <c r="AG8" s="16">
        <v>3</v>
      </c>
      <c r="AH8" s="2">
        <f t="shared" si="20"/>
        <v>-1</v>
      </c>
      <c r="AI8" s="13">
        <f t="shared" si="21"/>
        <v>6.9998000000000005</v>
      </c>
      <c r="AJ8" s="16">
        <v>4</v>
      </c>
      <c r="AK8" s="2">
        <f t="shared" si="22"/>
        <v>0</v>
      </c>
      <c r="AL8" s="13">
        <f t="shared" si="23"/>
        <v>6.9998000000000005</v>
      </c>
      <c r="AM8" s="16">
        <v>4</v>
      </c>
      <c r="AN8" s="2">
        <f t="shared" si="24"/>
        <v>0</v>
      </c>
      <c r="AO8" s="13">
        <f t="shared" si="25"/>
        <v>6.9998000000000005</v>
      </c>
      <c r="AP8" s="16">
        <v>3</v>
      </c>
      <c r="AQ8" s="2">
        <f t="shared" si="26"/>
        <v>-1</v>
      </c>
      <c r="AR8" s="13">
        <f t="shared" si="27"/>
        <v>5.9998000000000005</v>
      </c>
      <c r="AS8" s="16">
        <v>4</v>
      </c>
      <c r="AT8" s="2">
        <f t="shared" si="28"/>
        <v>0</v>
      </c>
      <c r="AU8" s="13">
        <f t="shared" si="35"/>
        <v>5.9998000000000005</v>
      </c>
      <c r="AV8" s="16">
        <v>5</v>
      </c>
      <c r="AW8" s="2">
        <f t="shared" si="29"/>
        <v>1</v>
      </c>
      <c r="AX8" s="13">
        <f t="shared" si="30"/>
        <v>6.9998000000000005</v>
      </c>
      <c r="AY8" s="16">
        <v>5</v>
      </c>
      <c r="AZ8" s="2">
        <f t="shared" si="31"/>
        <v>1</v>
      </c>
      <c r="BA8" s="13">
        <f t="shared" si="32"/>
        <v>7.9998000000000005</v>
      </c>
      <c r="BB8" s="16">
        <v>5</v>
      </c>
      <c r="BC8" s="2">
        <f t="shared" si="33"/>
        <v>1</v>
      </c>
      <c r="BD8" s="13">
        <f t="shared" si="34"/>
        <v>8.9998000000000005</v>
      </c>
      <c r="BF8" t="s">
        <v>21</v>
      </c>
      <c r="BG8" t="s">
        <v>22</v>
      </c>
      <c r="BH8" s="42">
        <v>8.9998000000000005</v>
      </c>
      <c r="BI8">
        <v>5</v>
      </c>
      <c r="BJ8" s="37" t="s">
        <v>19</v>
      </c>
      <c r="BK8" s="37" t="s">
        <v>20</v>
      </c>
      <c r="BL8" s="41">
        <v>6.0000999999999998</v>
      </c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2</v>
      </c>
      <c r="M9" s="2">
        <f t="shared" si="6"/>
        <v>-2</v>
      </c>
      <c r="N9" s="13">
        <f t="shared" si="7"/>
        <v>-1</v>
      </c>
      <c r="O9" s="16">
        <v>5</v>
      </c>
      <c r="P9" s="2">
        <f t="shared" si="8"/>
        <v>1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3</v>
      </c>
      <c r="V9" s="2">
        <f t="shared" si="12"/>
        <v>-1</v>
      </c>
      <c r="W9" s="13">
        <f t="shared" si="13"/>
        <v>-1</v>
      </c>
      <c r="X9" s="16">
        <v>4</v>
      </c>
      <c r="Y9" s="2">
        <f t="shared" si="14"/>
        <v>0</v>
      </c>
      <c r="Z9" s="13">
        <f t="shared" si="15"/>
        <v>-1</v>
      </c>
      <c r="AA9" s="16">
        <v>3</v>
      </c>
      <c r="AB9" s="2">
        <f t="shared" si="16"/>
        <v>-1</v>
      </c>
      <c r="AC9" s="13">
        <f t="shared" si="17"/>
        <v>-2</v>
      </c>
      <c r="AD9" s="16">
        <v>5</v>
      </c>
      <c r="AE9" s="2">
        <f t="shared" si="18"/>
        <v>1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3</v>
      </c>
      <c r="AK9" s="2">
        <f t="shared" si="22"/>
        <v>-1</v>
      </c>
      <c r="AL9" s="13">
        <f t="shared" si="23"/>
        <v>-2</v>
      </c>
      <c r="AM9" s="16">
        <v>4</v>
      </c>
      <c r="AN9" s="2">
        <f t="shared" si="24"/>
        <v>0</v>
      </c>
      <c r="AO9" s="13">
        <f t="shared" si="25"/>
        <v>-2</v>
      </c>
      <c r="AP9" s="16">
        <v>5</v>
      </c>
      <c r="AQ9" s="2">
        <f t="shared" si="26"/>
        <v>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3</v>
      </c>
      <c r="AW9" s="2">
        <f t="shared" si="29"/>
        <v>-1</v>
      </c>
      <c r="AX9" s="13">
        <f t="shared" si="30"/>
        <v>-2</v>
      </c>
      <c r="AY9" s="16">
        <v>3</v>
      </c>
      <c r="AZ9" s="2">
        <f t="shared" si="31"/>
        <v>-1</v>
      </c>
      <c r="BA9" s="13">
        <f t="shared" si="32"/>
        <v>-3</v>
      </c>
      <c r="BB9" s="16">
        <v>2</v>
      </c>
      <c r="BC9" s="2">
        <f t="shared" si="33"/>
        <v>-2</v>
      </c>
      <c r="BD9" s="13">
        <f t="shared" si="34"/>
        <v>-5</v>
      </c>
      <c r="BF9" t="s">
        <v>23</v>
      </c>
      <c r="BG9" t="s">
        <v>24</v>
      </c>
      <c r="BH9" s="42">
        <v>-5</v>
      </c>
      <c r="BI9">
        <v>6</v>
      </c>
      <c r="BJ9" s="37" t="s">
        <v>21</v>
      </c>
      <c r="BK9" s="37" t="s">
        <v>22</v>
      </c>
      <c r="BL9" s="41">
        <v>8.9998000000000005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3.8333333333333335</v>
      </c>
      <c r="D13" s="3"/>
      <c r="E13" s="3"/>
      <c r="F13" s="3">
        <f>IF(COUNT(F4:F11)&gt;0,AVERAGE(F4:F11),"")</f>
        <v>4</v>
      </c>
      <c r="G13" s="3"/>
      <c r="H13" s="3"/>
      <c r="I13" s="3">
        <f>IF(COUNT(I4:I11)&gt;0,AVERAGE(I4:I11),"")</f>
        <v>3</v>
      </c>
      <c r="J13" s="3"/>
      <c r="K13" s="3"/>
      <c r="L13" s="3">
        <f>IF(COUNT(L4:L11)&gt;0,AVERAGE(L4:L11),"")</f>
        <v>4.1666499999999997</v>
      </c>
      <c r="M13" s="3"/>
      <c r="N13" s="3"/>
      <c r="O13" s="3">
        <f>IF(COUNT(O4:O11)&gt;0,AVERAGE(O4:O11),"")</f>
        <v>4.666666666666667</v>
      </c>
      <c r="P13" s="3"/>
      <c r="Q13" s="3"/>
      <c r="R13" s="3">
        <f>IF(COUNT(R4:R11)&gt;0,AVERAGE(R4:R11),"")</f>
        <v>3.8333333333333335</v>
      </c>
      <c r="S13" s="3"/>
      <c r="T13" s="3"/>
      <c r="U13" s="3">
        <f>IF(COUNT(U4:U11)&gt;0,AVERAGE(U4:U11),"")</f>
        <v>4.5</v>
      </c>
      <c r="V13" s="3"/>
      <c r="W13" s="3"/>
      <c r="X13" s="3">
        <f>IF(COUNT(X4:X11)&gt;0,AVERAGE(X4:X11),"")</f>
        <v>4</v>
      </c>
      <c r="Y13" s="3"/>
      <c r="Z13" s="3"/>
      <c r="AA13" s="3">
        <f>IF(COUNT(AA4:AA11)&gt;0,AVERAGE(AA4:AA11),"")</f>
        <v>5.0000166666666663</v>
      </c>
      <c r="AB13" s="3"/>
      <c r="AC13" s="3"/>
      <c r="AD13" s="3">
        <f>IF(COUNT(AD4:AD11)&gt;0,AVERAGE(AD4:AD11),"")</f>
        <v>4.4999833333333337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3.1666666666666665</v>
      </c>
      <c r="AK13" s="3"/>
      <c r="AL13" s="3"/>
      <c r="AM13" s="3">
        <f>IF(COUNT(AM4:AM11)&gt;0,AVERAGE(AM4:AM11),"")</f>
        <v>4.666666666666667</v>
      </c>
      <c r="AN13" s="18"/>
      <c r="AO13" s="18"/>
      <c r="AP13" s="3">
        <f>IF(COUNT(AP4:AP11)&gt;0,AVERAGE(AP4:AP11),"")</f>
        <v>4.166666666666667</v>
      </c>
      <c r="AQ13" s="18"/>
      <c r="AR13" s="18"/>
      <c r="AS13" s="3">
        <f>IF(COUNT(AS4:AS11)&gt;0,AVERAGE(AS4:AS11),"")</f>
        <v>4.333333333333333</v>
      </c>
      <c r="AT13" s="18"/>
      <c r="AU13" s="18"/>
      <c r="AV13" s="3">
        <f>IF(COUNT(AV4:AV11)&gt;0,AVERAGE(AV4:AV11),"")</f>
        <v>4.333333333333333</v>
      </c>
      <c r="AW13" s="18"/>
      <c r="AX13" s="18"/>
      <c r="AY13" s="3">
        <f>IF(COUNT(AY4:AY11)&gt;0,AVERAGE(AY4:AY11),"")</f>
        <v>4.166666666666667</v>
      </c>
      <c r="AZ13" s="18"/>
      <c r="BA13" s="18"/>
      <c r="BB13" s="3">
        <f>IF(COUNT(BB4:BB11)&gt;0,AVERAGE(BB4:BB11),"")</f>
        <v>3.5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6A0-8302-4BB1-AD70-CCA44D6EA615}">
  <sheetPr codeName="Sheet5"/>
  <dimension ref="A1:BR60"/>
  <sheetViews>
    <sheetView zoomScale="96" zoomScaleNormal="96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44988</v>
      </c>
      <c r="D1" s="53"/>
      <c r="E1" s="54"/>
      <c r="F1" s="52">
        <f>C1+1</f>
        <v>44989</v>
      </c>
      <c r="G1" s="53"/>
      <c r="H1" s="54"/>
      <c r="I1" s="52">
        <f>F1+1</f>
        <v>44990</v>
      </c>
      <c r="J1" s="53"/>
      <c r="K1" s="54"/>
      <c r="L1" s="52">
        <f>I1+1</f>
        <v>44991</v>
      </c>
      <c r="M1" s="53"/>
      <c r="N1" s="54"/>
      <c r="O1" s="52">
        <f>L1+1</f>
        <v>44992</v>
      </c>
      <c r="P1" s="53"/>
      <c r="Q1" s="54"/>
      <c r="R1" s="52">
        <f>O1+1</f>
        <v>44993</v>
      </c>
      <c r="S1" s="53"/>
      <c r="T1" s="54"/>
      <c r="U1" s="52">
        <f>R1+1</f>
        <v>44994</v>
      </c>
      <c r="V1" s="53"/>
      <c r="W1" s="54"/>
      <c r="X1" s="52">
        <f>U1+1</f>
        <v>44995</v>
      </c>
      <c r="Y1" s="53"/>
      <c r="Z1" s="54"/>
      <c r="AA1" s="52">
        <f>X1+1</f>
        <v>44996</v>
      </c>
      <c r="AB1" s="53"/>
      <c r="AC1" s="54"/>
      <c r="AD1" s="52">
        <f>AA1+1</f>
        <v>44997</v>
      </c>
      <c r="AE1" s="53"/>
      <c r="AF1" s="54"/>
      <c r="AG1" s="52">
        <f>AD1+1</f>
        <v>44998</v>
      </c>
      <c r="AH1" s="53"/>
      <c r="AI1" s="54"/>
      <c r="AJ1" s="52">
        <f>AG1+1</f>
        <v>44999</v>
      </c>
      <c r="AK1" s="53"/>
      <c r="AL1" s="54"/>
      <c r="AM1" s="52">
        <f>AJ1+1</f>
        <v>45000</v>
      </c>
      <c r="AN1" s="53"/>
      <c r="AO1" s="54"/>
      <c r="AP1" s="52">
        <f>AM1+1</f>
        <v>45001</v>
      </c>
      <c r="AQ1" s="53"/>
      <c r="AR1" s="54"/>
      <c r="AS1" s="52">
        <f>AP1+1</f>
        <v>45002</v>
      </c>
      <c r="AT1" s="53"/>
      <c r="AU1" s="54"/>
      <c r="AV1" s="52">
        <f>AS1+1</f>
        <v>45003</v>
      </c>
      <c r="AW1" s="53"/>
      <c r="AX1" s="54"/>
      <c r="AY1" s="52">
        <f>AV1+1</f>
        <v>45004</v>
      </c>
      <c r="AZ1" s="53"/>
      <c r="BA1" s="54"/>
      <c r="BB1" s="52">
        <f>AY1+1</f>
        <v>45005</v>
      </c>
      <c r="BC1" s="53"/>
      <c r="BD1" s="54"/>
    </row>
    <row r="2" spans="1:70" x14ac:dyDescent="0.25">
      <c r="B2" s="9" t="s">
        <v>1</v>
      </c>
      <c r="C2" s="49">
        <v>622</v>
      </c>
      <c r="D2" s="50"/>
      <c r="E2" s="51"/>
      <c r="F2" s="49">
        <f>C2+1</f>
        <v>623</v>
      </c>
      <c r="G2" s="50"/>
      <c r="H2" s="51"/>
      <c r="I2" s="49">
        <f>F2+1</f>
        <v>624</v>
      </c>
      <c r="J2" s="50"/>
      <c r="K2" s="51"/>
      <c r="L2" s="49">
        <f>I2+1</f>
        <v>625</v>
      </c>
      <c r="M2" s="50"/>
      <c r="N2" s="51"/>
      <c r="O2" s="49">
        <f>L2+1</f>
        <v>626</v>
      </c>
      <c r="P2" s="50"/>
      <c r="Q2" s="51"/>
      <c r="R2" s="49">
        <f>O2+1</f>
        <v>627</v>
      </c>
      <c r="S2" s="50"/>
      <c r="T2" s="51"/>
      <c r="U2" s="49">
        <f>R2+1</f>
        <v>628</v>
      </c>
      <c r="V2" s="50"/>
      <c r="W2" s="51"/>
      <c r="X2" s="49">
        <f>U2+1</f>
        <v>629</v>
      </c>
      <c r="Y2" s="50"/>
      <c r="Z2" s="51"/>
      <c r="AA2" s="49">
        <f>X2+1</f>
        <v>630</v>
      </c>
      <c r="AB2" s="50"/>
      <c r="AC2" s="51"/>
      <c r="AD2" s="49">
        <f>AA2+1</f>
        <v>631</v>
      </c>
      <c r="AE2" s="50"/>
      <c r="AF2" s="51"/>
      <c r="AG2" s="49">
        <f>AD2+1</f>
        <v>632</v>
      </c>
      <c r="AH2" s="50"/>
      <c r="AI2" s="51"/>
      <c r="AJ2" s="49">
        <f>AG2+1</f>
        <v>633</v>
      </c>
      <c r="AK2" s="50"/>
      <c r="AL2" s="51"/>
      <c r="AM2" s="49">
        <f>AJ2+1</f>
        <v>634</v>
      </c>
      <c r="AN2" s="50"/>
      <c r="AO2" s="51"/>
      <c r="AP2" s="49">
        <f>AM2+1</f>
        <v>635</v>
      </c>
      <c r="AQ2" s="50"/>
      <c r="AR2" s="51"/>
      <c r="AS2" s="49">
        <f>AP2+1</f>
        <v>636</v>
      </c>
      <c r="AT2" s="50"/>
      <c r="AU2" s="51"/>
      <c r="AV2" s="49">
        <f>AS2+1</f>
        <v>637</v>
      </c>
      <c r="AW2" s="50"/>
      <c r="AX2" s="51"/>
      <c r="AY2" s="49">
        <f>AV2+1</f>
        <v>638</v>
      </c>
      <c r="AZ2" s="50"/>
      <c r="BA2" s="51"/>
      <c r="BB2" s="49">
        <f>AY2+1</f>
        <v>639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4</v>
      </c>
      <c r="M4" s="18">
        <f>IF(L4&lt;&gt;"",L4-$B$1,"")</f>
        <v>0</v>
      </c>
      <c r="N4" s="13">
        <f>IF(L4&lt;&gt;"",K4+M4,"")</f>
        <v>0</v>
      </c>
      <c r="O4" s="38">
        <v>2</v>
      </c>
      <c r="P4" s="18">
        <f>IF(O4&lt;&gt;"",O4-$B$1,"")</f>
        <v>-2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38">
        <v>3</v>
      </c>
      <c r="V4" s="18">
        <f>IF(U4&lt;&gt;"",U4-$B$1,"")</f>
        <v>-1</v>
      </c>
      <c r="W4" s="13">
        <f>IF(U4&lt;&gt;"",T4+V4,"")</f>
        <v>9.9999999999766942E-5</v>
      </c>
      <c r="X4" s="38">
        <v>5</v>
      </c>
      <c r="Y4" s="18">
        <f>IF(X4&lt;&gt;"",X4-$B$1,"")</f>
        <v>1</v>
      </c>
      <c r="Z4" s="13">
        <f>IF(X4&lt;&gt;"",W4+Y4,"")</f>
        <v>1.0000999999999998</v>
      </c>
      <c r="AA4" s="38">
        <v>5</v>
      </c>
      <c r="AB4" s="18">
        <f>IF(AA4&lt;&gt;"",AA4-$B$1,"")</f>
        <v>1</v>
      </c>
      <c r="AC4" s="13">
        <f>IF(AA4&lt;&gt;"",Z4+AB4,"")</f>
        <v>2.0000999999999998</v>
      </c>
      <c r="AD4" s="38">
        <v>4</v>
      </c>
      <c r="AE4" s="18">
        <f>IF(AD4&lt;&gt;"",AD4-$B$1,"")</f>
        <v>0</v>
      </c>
      <c r="AF4" s="13">
        <f>IF(AD4&lt;&gt;"",AC4+AE4,"")</f>
        <v>2.0000999999999998</v>
      </c>
      <c r="AG4" s="38">
        <v>3</v>
      </c>
      <c r="AH4" s="18">
        <f>IF(AG4&lt;&gt;"",AG4-$B$1,"")</f>
        <v>-1</v>
      </c>
      <c r="AI4" s="13">
        <f>IF(AG4&lt;&gt;"",AF4+AH4,"")</f>
        <v>1.0000999999999998</v>
      </c>
      <c r="AJ4" s="38">
        <v>4</v>
      </c>
      <c r="AK4" s="18">
        <f>IF(AJ4&lt;&gt;"",AJ4-$B$1,"")</f>
        <v>0</v>
      </c>
      <c r="AL4" s="13">
        <f>IF(AJ4&lt;&gt;"",AI4+AK4,"")</f>
        <v>1.0000999999999998</v>
      </c>
      <c r="AM4" s="38">
        <v>4</v>
      </c>
      <c r="AN4" s="18">
        <f>IF(AM4&lt;&gt;"",AM4-$B$1,"")</f>
        <v>0</v>
      </c>
      <c r="AO4" s="13">
        <f>IF(AM4&lt;&gt;"",AL4+AN4,"")</f>
        <v>1.0000999999999998</v>
      </c>
      <c r="AP4" s="38">
        <v>5</v>
      </c>
      <c r="AQ4" s="18">
        <f>IF(AP4&lt;&gt;"",AP4-$B$1,"")</f>
        <v>1</v>
      </c>
      <c r="AR4" s="13">
        <f>IF(AP4&lt;&gt;"",AO4+AQ4,"")</f>
        <v>2.0000999999999998</v>
      </c>
      <c r="AS4" s="38">
        <v>4</v>
      </c>
      <c r="AT4" s="18">
        <f>IF(AS4&lt;&gt;"",AS4-$B$1,"")</f>
        <v>0</v>
      </c>
      <c r="AU4" s="13">
        <f>IF(AS4&lt;&gt;"",AR4+AT4,"")</f>
        <v>2.0000999999999998</v>
      </c>
      <c r="AV4" s="38">
        <v>4</v>
      </c>
      <c r="AW4" s="18">
        <f>IF(AV4&lt;&gt;"",AV4-$B$1,"")</f>
        <v>0</v>
      </c>
      <c r="AX4" s="13">
        <f>IF(AV4&lt;&gt;"",AU4+AW4,"")</f>
        <v>2.0000999999999998</v>
      </c>
      <c r="AY4" s="38">
        <v>4</v>
      </c>
      <c r="AZ4" s="18">
        <f>IF(AY4&lt;&gt;"",AY4-$B$1,"")</f>
        <v>0</v>
      </c>
      <c r="BA4" s="13">
        <f>IF(AY4&lt;&gt;"",AX4+AZ4,"")</f>
        <v>2.0000999999999998</v>
      </c>
      <c r="BB4" s="38">
        <v>3</v>
      </c>
      <c r="BC4" s="18">
        <f>IF(BB4&lt;&gt;"",BB4-$B$1,"")</f>
        <v>-1</v>
      </c>
      <c r="BD4" s="13">
        <f>IF(BB4&lt;&gt;"",BA4+BC4,"")</f>
        <v>1.0000999999999998</v>
      </c>
      <c r="BF4" t="s">
        <v>9</v>
      </c>
      <c r="BG4" t="s">
        <v>10</v>
      </c>
      <c r="BH4" s="42">
        <v>1.0000999999999998</v>
      </c>
      <c r="BJ4" s="37" t="s">
        <v>15</v>
      </c>
      <c r="BK4" s="37" t="s">
        <v>16</v>
      </c>
      <c r="BL4" s="41">
        <v>-3</v>
      </c>
      <c r="BR4" s="40"/>
    </row>
    <row r="5" spans="1:70" x14ac:dyDescent="0.25">
      <c r="A5" t="s">
        <v>11</v>
      </c>
      <c r="B5" t="s">
        <v>12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-3</v>
      </c>
      <c r="L5" s="16">
        <v>6</v>
      </c>
      <c r="M5" s="2">
        <f t="shared" ref="M5:M9" si="6">IF(L5&lt;&gt;"",L5-$B$1,"")</f>
        <v>2</v>
      </c>
      <c r="N5" s="13">
        <f t="shared" ref="N5:N9" si="7">IF(L5&lt;&gt;"",K5+M5,"")</f>
        <v>-1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-2</v>
      </c>
      <c r="X5" s="16">
        <v>6</v>
      </c>
      <c r="Y5" s="2">
        <f t="shared" ref="Y5:Y9" si="14">IF(X5&lt;&gt;"",X5-$B$1,"")</f>
        <v>2</v>
      </c>
      <c r="Z5" s="13">
        <f t="shared" ref="Z5:Z9" si="15">IF(X5&lt;&gt;"",W5+Y5,"")</f>
        <v>0</v>
      </c>
      <c r="AA5" s="16">
        <v>3</v>
      </c>
      <c r="AB5" s="2">
        <f t="shared" ref="AB5:AB9" si="16">IF(AA5&lt;&gt;"",AA5-$B$1,"")</f>
        <v>-1</v>
      </c>
      <c r="AC5" s="13">
        <f t="shared" ref="AC5:AC9" si="17">IF(AA5&lt;&gt;"",Z5+AB5,"")</f>
        <v>-1</v>
      </c>
      <c r="AD5" s="16">
        <v>3</v>
      </c>
      <c r="AE5" s="2">
        <f t="shared" ref="AE5:AE9" si="18">IF(AD5&lt;&gt;"",AD5-$B$1,"")</f>
        <v>-1</v>
      </c>
      <c r="AF5" s="13">
        <f t="shared" ref="AF5:AF8" si="19">IF(AD5&lt;&gt;"",AC5+AE5,"")</f>
        <v>-2</v>
      </c>
      <c r="AG5" s="16">
        <v>5</v>
      </c>
      <c r="AH5" s="2">
        <f t="shared" ref="AH5:AH9" si="20">IF(AG5&lt;&gt;"",AG5-$B$1,"")</f>
        <v>1</v>
      </c>
      <c r="AI5" s="13">
        <f t="shared" ref="AI5:AI9" si="21">IF(AG5&lt;&gt;"",AF5+AH5,"")</f>
        <v>-1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-2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-2</v>
      </c>
      <c r="AP5" s="16">
        <v>3</v>
      </c>
      <c r="AQ5" s="2">
        <f t="shared" ref="AQ5:AQ9" si="26">IF(AP5&lt;&gt;"",AP5-$B$1,"")</f>
        <v>-1</v>
      </c>
      <c r="AR5" s="13">
        <f t="shared" ref="AR5:AR7" si="27">IF(AP5&lt;&gt;"",AO5+AQ5,"")</f>
        <v>-3</v>
      </c>
      <c r="AS5" s="16">
        <v>5</v>
      </c>
      <c r="AT5" s="2">
        <f t="shared" ref="AT5:AT8" si="28">IF(AS5&lt;&gt;"",AS5-$B$1,"")</f>
        <v>1</v>
      </c>
      <c r="AU5" s="13">
        <f>IF(AS5&lt;&gt;"",AR5+AT5,"")</f>
        <v>-2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-3</v>
      </c>
      <c r="AY5" s="16">
        <v>3</v>
      </c>
      <c r="AZ5" s="2">
        <f>IF(AY5&lt;&gt;"",AY5-$B$1,"")</f>
        <v>-1</v>
      </c>
      <c r="BA5" s="13">
        <f>IF(AY5&lt;&gt;"",AX5+AZ5,"")</f>
        <v>-4</v>
      </c>
      <c r="BB5" s="16">
        <v>5</v>
      </c>
      <c r="BC5" s="2">
        <f t="shared" ref="BC5:BC9" si="31">IF(BB5&lt;&gt;"",BB5-$B$1,"")</f>
        <v>1</v>
      </c>
      <c r="BD5" s="13">
        <f t="shared" ref="BD5:BD9" si="32">IF(BB5&lt;&gt;"",BA5+BC5,"")</f>
        <v>-3</v>
      </c>
      <c r="BF5" t="s">
        <v>11</v>
      </c>
      <c r="BG5" t="s">
        <v>12</v>
      </c>
      <c r="BH5" s="42">
        <v>-3</v>
      </c>
      <c r="BJ5" s="37" t="s">
        <v>11</v>
      </c>
      <c r="BK5" s="37" t="s">
        <v>12</v>
      </c>
      <c r="BL5" s="41">
        <v>-3</v>
      </c>
      <c r="BR5" s="40"/>
    </row>
    <row r="6" spans="1:70" x14ac:dyDescent="0.25">
      <c r="A6" t="s">
        <v>15</v>
      </c>
      <c r="B6" t="s">
        <v>16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>
        <v>5</v>
      </c>
      <c r="S6" s="2">
        <f t="shared" si="10"/>
        <v>1</v>
      </c>
      <c r="T6" s="13">
        <f t="shared" si="11"/>
        <v>-3</v>
      </c>
      <c r="U6" s="16">
        <v>4</v>
      </c>
      <c r="V6" s="2">
        <f t="shared" si="12"/>
        <v>0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4</v>
      </c>
      <c r="AB6" s="2">
        <f t="shared" si="16"/>
        <v>0</v>
      </c>
      <c r="AC6" s="13">
        <f t="shared" si="17"/>
        <v>-2</v>
      </c>
      <c r="AD6" s="16">
        <v>4</v>
      </c>
      <c r="AE6" s="2">
        <f t="shared" si="18"/>
        <v>0</v>
      </c>
      <c r="AF6" s="13">
        <f t="shared" si="19"/>
        <v>-2</v>
      </c>
      <c r="AG6" s="16">
        <v>3</v>
      </c>
      <c r="AH6" s="2">
        <f t="shared" si="20"/>
        <v>-1</v>
      </c>
      <c r="AI6" s="13">
        <f t="shared" si="21"/>
        <v>-3</v>
      </c>
      <c r="AJ6" s="16">
        <v>3</v>
      </c>
      <c r="AK6" s="2">
        <f t="shared" si="22"/>
        <v>-1</v>
      </c>
      <c r="AL6" s="13">
        <f t="shared" si="23"/>
        <v>-4</v>
      </c>
      <c r="AM6" s="16">
        <v>3</v>
      </c>
      <c r="AN6" s="2">
        <f t="shared" si="24"/>
        <v>-1</v>
      </c>
      <c r="AO6" s="13">
        <f t="shared" si="25"/>
        <v>-5</v>
      </c>
      <c r="AP6" s="8">
        <v>6.9999000000000002</v>
      </c>
      <c r="AQ6" s="2">
        <f t="shared" si="26"/>
        <v>2.9999000000000002</v>
      </c>
      <c r="AR6" s="13">
        <f>IF(AP6&lt;&gt;"",AO6+AQ6,"")</f>
        <v>-2.0000999999999998</v>
      </c>
      <c r="AS6" s="16">
        <v>5</v>
      </c>
      <c r="AT6" s="2">
        <f t="shared" si="28"/>
        <v>1</v>
      </c>
      <c r="AU6" s="13">
        <f t="shared" ref="AU6:AU8" si="33">IF(AS6&lt;&gt;"",AR6+AT6,"")</f>
        <v>-1.0000999999999998</v>
      </c>
      <c r="AV6" s="16">
        <v>4</v>
      </c>
      <c r="AW6" s="2">
        <f t="shared" si="29"/>
        <v>0</v>
      </c>
      <c r="AX6" s="13">
        <f t="shared" si="30"/>
        <v>-1.0000999999999998</v>
      </c>
      <c r="AY6" s="16">
        <v>2</v>
      </c>
      <c r="AZ6" s="2">
        <f t="shared" ref="AZ6:AZ9" si="34">IF(AY6&lt;&gt;"",AY6-$B$1,"")</f>
        <v>-2</v>
      </c>
      <c r="BA6" s="13">
        <f t="shared" ref="BA6:BA9" si="35">IF(AY6&lt;&gt;"",AX6+AZ6,"")</f>
        <v>-3.0000999999999998</v>
      </c>
      <c r="BB6" s="16">
        <v>4</v>
      </c>
      <c r="BC6" s="2">
        <f t="shared" si="31"/>
        <v>0</v>
      </c>
      <c r="BD6" s="13">
        <f t="shared" si="32"/>
        <v>-3.0000999999999998</v>
      </c>
      <c r="BF6" t="s">
        <v>15</v>
      </c>
      <c r="BG6" t="s">
        <v>16</v>
      </c>
      <c r="BH6" s="42">
        <v>-3</v>
      </c>
      <c r="BJ6" s="37" t="s">
        <v>19</v>
      </c>
      <c r="BK6" s="37" t="s">
        <v>20</v>
      </c>
      <c r="BL6" s="41">
        <v>-3</v>
      </c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3</v>
      </c>
      <c r="G7" s="2">
        <f t="shared" si="2"/>
        <v>-1</v>
      </c>
      <c r="H7" s="13">
        <f t="shared" si="3"/>
        <v>-2</v>
      </c>
      <c r="I7" s="16">
        <v>3</v>
      </c>
      <c r="J7" s="2">
        <f t="shared" si="4"/>
        <v>-1</v>
      </c>
      <c r="K7" s="13">
        <f t="shared" si="5"/>
        <v>-3</v>
      </c>
      <c r="L7" s="16">
        <v>3</v>
      </c>
      <c r="M7" s="2">
        <f t="shared" si="6"/>
        <v>-1</v>
      </c>
      <c r="N7" s="13">
        <f t="shared" si="7"/>
        <v>-4</v>
      </c>
      <c r="O7" s="16">
        <v>3</v>
      </c>
      <c r="P7" s="2">
        <f t="shared" si="8"/>
        <v>-1</v>
      </c>
      <c r="Q7" s="13">
        <f t="shared" si="9"/>
        <v>-5</v>
      </c>
      <c r="R7" s="16">
        <v>4</v>
      </c>
      <c r="S7" s="2">
        <f t="shared" si="10"/>
        <v>0</v>
      </c>
      <c r="T7" s="13">
        <f t="shared" si="11"/>
        <v>-5</v>
      </c>
      <c r="U7" s="16">
        <v>5</v>
      </c>
      <c r="V7" s="2">
        <f t="shared" si="12"/>
        <v>1</v>
      </c>
      <c r="W7" s="13">
        <f t="shared" si="13"/>
        <v>-4</v>
      </c>
      <c r="X7" s="16">
        <v>3</v>
      </c>
      <c r="Y7" s="2">
        <f t="shared" si="14"/>
        <v>-1</v>
      </c>
      <c r="Z7" s="13">
        <f t="shared" si="15"/>
        <v>-5</v>
      </c>
      <c r="AA7" s="16">
        <v>4</v>
      </c>
      <c r="AB7" s="2">
        <f t="shared" si="16"/>
        <v>0</v>
      </c>
      <c r="AC7" s="13">
        <f t="shared" si="17"/>
        <v>-5</v>
      </c>
      <c r="AD7" s="16">
        <v>5</v>
      </c>
      <c r="AE7" s="2">
        <f t="shared" si="18"/>
        <v>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5</v>
      </c>
      <c r="AN7" s="2">
        <f t="shared" si="24"/>
        <v>1</v>
      </c>
      <c r="AO7" s="13">
        <f t="shared" si="25"/>
        <v>-3</v>
      </c>
      <c r="AP7" s="16">
        <v>3</v>
      </c>
      <c r="AQ7" s="2">
        <f t="shared" si="26"/>
        <v>-1</v>
      </c>
      <c r="AR7" s="13">
        <f t="shared" si="27"/>
        <v>-4</v>
      </c>
      <c r="AS7" s="16">
        <v>5</v>
      </c>
      <c r="AT7" s="2">
        <f t="shared" si="28"/>
        <v>1</v>
      </c>
      <c r="AU7" s="13">
        <f>IF(AS7&lt;&gt;"",AR7+AT7,"")</f>
        <v>-3</v>
      </c>
      <c r="AV7" s="16">
        <v>5</v>
      </c>
      <c r="AW7" s="2">
        <f t="shared" si="29"/>
        <v>1</v>
      </c>
      <c r="AX7" s="13">
        <f t="shared" si="30"/>
        <v>-2</v>
      </c>
      <c r="AY7" s="16">
        <v>4</v>
      </c>
      <c r="AZ7" s="2">
        <f t="shared" si="34"/>
        <v>0</v>
      </c>
      <c r="BA7" s="13">
        <f t="shared" si="35"/>
        <v>-2</v>
      </c>
      <c r="BB7" s="16">
        <v>3</v>
      </c>
      <c r="BC7" s="2">
        <f t="shared" si="31"/>
        <v>-1</v>
      </c>
      <c r="BD7" s="13">
        <f t="shared" si="32"/>
        <v>-3</v>
      </c>
      <c r="BF7" t="s">
        <v>19</v>
      </c>
      <c r="BG7" t="s">
        <v>20</v>
      </c>
      <c r="BH7" s="42">
        <v>-3</v>
      </c>
      <c r="BJ7" s="37" t="s">
        <v>9</v>
      </c>
      <c r="BK7" s="37" t="s">
        <v>10</v>
      </c>
      <c r="BL7" s="41">
        <v>1.0000999999999998</v>
      </c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3</v>
      </c>
      <c r="P8" s="2">
        <f t="shared" si="8"/>
        <v>-1</v>
      </c>
      <c r="Q8" s="13">
        <f t="shared" si="9"/>
        <v>-1</v>
      </c>
      <c r="R8" s="16">
        <v>5</v>
      </c>
      <c r="S8" s="2">
        <f t="shared" si="10"/>
        <v>1</v>
      </c>
      <c r="T8" s="13">
        <f t="shared" si="11"/>
        <v>0</v>
      </c>
      <c r="U8" s="16">
        <v>3</v>
      </c>
      <c r="V8" s="2">
        <f t="shared" si="12"/>
        <v>-1</v>
      </c>
      <c r="W8" s="13">
        <f t="shared" si="13"/>
        <v>-1</v>
      </c>
      <c r="X8" s="16">
        <v>5</v>
      </c>
      <c r="Y8" s="2">
        <f t="shared" si="14"/>
        <v>1</v>
      </c>
      <c r="Z8" s="13">
        <f t="shared" si="15"/>
        <v>0</v>
      </c>
      <c r="AA8" s="16">
        <v>4</v>
      </c>
      <c r="AB8" s="2">
        <f t="shared" si="16"/>
        <v>0</v>
      </c>
      <c r="AC8" s="13">
        <f t="shared" si="17"/>
        <v>0</v>
      </c>
      <c r="AD8" s="16">
        <v>6</v>
      </c>
      <c r="AE8" s="2">
        <f t="shared" si="18"/>
        <v>2</v>
      </c>
      <c r="AF8" s="13">
        <f t="shared" si="19"/>
        <v>2</v>
      </c>
      <c r="AG8" s="16">
        <v>4</v>
      </c>
      <c r="AH8" s="2">
        <f t="shared" si="20"/>
        <v>0</v>
      </c>
      <c r="AI8" s="13">
        <f t="shared" si="21"/>
        <v>2</v>
      </c>
      <c r="AJ8" s="16">
        <v>4</v>
      </c>
      <c r="AK8" s="2">
        <f t="shared" si="22"/>
        <v>0</v>
      </c>
      <c r="AL8" s="13">
        <f t="shared" si="23"/>
        <v>2</v>
      </c>
      <c r="AM8" s="16">
        <v>4</v>
      </c>
      <c r="AN8" s="2">
        <f t="shared" si="24"/>
        <v>0</v>
      </c>
      <c r="AO8" s="13">
        <f t="shared" si="25"/>
        <v>2</v>
      </c>
      <c r="AP8" s="16">
        <v>5</v>
      </c>
      <c r="AQ8" s="2">
        <f t="shared" si="26"/>
        <v>1</v>
      </c>
      <c r="AR8" s="13">
        <f>IF(AP8&lt;&gt;"",AO8+AQ8,"")</f>
        <v>3</v>
      </c>
      <c r="AS8" s="16">
        <v>3</v>
      </c>
      <c r="AT8" s="2">
        <f t="shared" si="28"/>
        <v>-1</v>
      </c>
      <c r="AU8" s="13">
        <f t="shared" si="33"/>
        <v>2</v>
      </c>
      <c r="AV8" s="6">
        <v>7.0000999999999998</v>
      </c>
      <c r="AW8" s="2">
        <f t="shared" si="29"/>
        <v>3.0000999999999998</v>
      </c>
      <c r="AX8" s="13">
        <f t="shared" si="30"/>
        <v>5.0000999999999998</v>
      </c>
      <c r="AY8" s="8">
        <v>6.9999000000000002</v>
      </c>
      <c r="AZ8" s="2">
        <f t="shared" si="34"/>
        <v>2.9999000000000002</v>
      </c>
      <c r="BA8" s="13">
        <f t="shared" si="35"/>
        <v>8</v>
      </c>
      <c r="BB8" s="16">
        <v>2</v>
      </c>
      <c r="BC8" s="2">
        <f t="shared" si="31"/>
        <v>-2</v>
      </c>
      <c r="BD8" s="13">
        <f t="shared" si="32"/>
        <v>6</v>
      </c>
      <c r="BF8" t="s">
        <v>21</v>
      </c>
      <c r="BG8" t="s">
        <v>22</v>
      </c>
      <c r="BH8" s="42">
        <v>6</v>
      </c>
      <c r="BJ8" s="37" t="s">
        <v>23</v>
      </c>
      <c r="BK8" s="37" t="s">
        <v>24</v>
      </c>
      <c r="BL8" s="41">
        <v>4.0002999999999993</v>
      </c>
      <c r="BR8" s="40"/>
    </row>
    <row r="9" spans="1:70" x14ac:dyDescent="0.25">
      <c r="A9" t="s">
        <v>23</v>
      </c>
      <c r="B9" t="s">
        <v>24</v>
      </c>
      <c r="C9" s="16">
        <v>3</v>
      </c>
      <c r="D9" s="2">
        <f t="shared" si="0"/>
        <v>-1</v>
      </c>
      <c r="E9" s="13">
        <f t="shared" si="1"/>
        <v>-1</v>
      </c>
      <c r="F9" s="6">
        <v>7.0000999999999998</v>
      </c>
      <c r="G9" s="2">
        <f t="shared" si="2"/>
        <v>3.0000999999999998</v>
      </c>
      <c r="H9" s="13">
        <f t="shared" si="3"/>
        <v>2.0000999999999998</v>
      </c>
      <c r="I9" s="16">
        <v>4</v>
      </c>
      <c r="J9" s="2">
        <f t="shared" si="4"/>
        <v>0</v>
      </c>
      <c r="K9" s="13">
        <f t="shared" si="5"/>
        <v>2.0000999999999998</v>
      </c>
      <c r="L9" s="16">
        <v>5</v>
      </c>
      <c r="M9" s="2">
        <f t="shared" si="6"/>
        <v>1</v>
      </c>
      <c r="N9" s="13">
        <f t="shared" si="7"/>
        <v>3.0000999999999998</v>
      </c>
      <c r="O9" s="16">
        <v>5</v>
      </c>
      <c r="P9" s="2">
        <f t="shared" si="8"/>
        <v>1</v>
      </c>
      <c r="Q9" s="13">
        <f t="shared" si="9"/>
        <v>4.0000999999999998</v>
      </c>
      <c r="R9" s="16">
        <v>3</v>
      </c>
      <c r="S9" s="2">
        <f t="shared" si="10"/>
        <v>-1</v>
      </c>
      <c r="T9" s="13">
        <f t="shared" si="11"/>
        <v>3.0000999999999998</v>
      </c>
      <c r="U9" s="16">
        <v>5</v>
      </c>
      <c r="V9" s="2">
        <f t="shared" si="12"/>
        <v>1</v>
      </c>
      <c r="W9" s="13">
        <f t="shared" si="13"/>
        <v>4.0000999999999998</v>
      </c>
      <c r="X9" s="6">
        <v>7.0000999999999998</v>
      </c>
      <c r="Y9" s="2">
        <f t="shared" si="14"/>
        <v>3.0000999999999998</v>
      </c>
      <c r="Z9" s="13">
        <f t="shared" si="15"/>
        <v>7.0001999999999995</v>
      </c>
      <c r="AA9" s="16">
        <v>3</v>
      </c>
      <c r="AB9" s="2">
        <f t="shared" si="16"/>
        <v>-1</v>
      </c>
      <c r="AC9" s="13">
        <f t="shared" si="17"/>
        <v>6.0001999999999995</v>
      </c>
      <c r="AD9" s="16">
        <v>3</v>
      </c>
      <c r="AE9" s="2">
        <f t="shared" si="18"/>
        <v>-1</v>
      </c>
      <c r="AF9" s="13">
        <f>IF(AD9&lt;&gt;"",AC9+AE9,"")</f>
        <v>5.0001999999999995</v>
      </c>
      <c r="AG9" s="16">
        <v>3</v>
      </c>
      <c r="AH9" s="2">
        <f t="shared" si="20"/>
        <v>-1</v>
      </c>
      <c r="AI9" s="13">
        <f t="shared" si="21"/>
        <v>4.0001999999999995</v>
      </c>
      <c r="AJ9" s="6">
        <v>7.0000999999999998</v>
      </c>
      <c r="AK9" s="2">
        <f t="shared" si="22"/>
        <v>3.0000999999999998</v>
      </c>
      <c r="AL9" s="13">
        <f t="shared" si="23"/>
        <v>7.0002999999999993</v>
      </c>
      <c r="AM9" s="16">
        <v>4</v>
      </c>
      <c r="AN9" s="2">
        <f t="shared" si="24"/>
        <v>0</v>
      </c>
      <c r="AO9" s="13">
        <f t="shared" si="25"/>
        <v>7.0002999999999993</v>
      </c>
      <c r="AP9" s="16">
        <v>2</v>
      </c>
      <c r="AQ9" s="2">
        <f t="shared" si="26"/>
        <v>-2</v>
      </c>
      <c r="AR9" s="13">
        <f>IF(AP9&lt;&gt;"",AO9+AQ9,"")</f>
        <v>5.0002999999999993</v>
      </c>
      <c r="AS9" s="16">
        <v>3</v>
      </c>
      <c r="AT9" s="2">
        <f>IF(AS9&lt;&gt;"",AS9-$B$1,"")</f>
        <v>-1</v>
      </c>
      <c r="AU9" s="13">
        <f>IF(AS9&lt;&gt;"",AR9+AT9,"")</f>
        <v>4.0002999999999993</v>
      </c>
      <c r="AV9" s="16">
        <v>4</v>
      </c>
      <c r="AW9" s="2">
        <f t="shared" si="29"/>
        <v>0</v>
      </c>
      <c r="AX9" s="13">
        <f t="shared" si="30"/>
        <v>4.0002999999999993</v>
      </c>
      <c r="AY9" s="16">
        <v>3</v>
      </c>
      <c r="AZ9" s="2">
        <f t="shared" si="34"/>
        <v>-1</v>
      </c>
      <c r="BA9" s="13">
        <f t="shared" si="35"/>
        <v>3.0002999999999993</v>
      </c>
      <c r="BB9" s="16">
        <v>5</v>
      </c>
      <c r="BC9" s="2">
        <f t="shared" si="31"/>
        <v>1</v>
      </c>
      <c r="BD9" s="13">
        <f t="shared" si="32"/>
        <v>4.0002999999999993</v>
      </c>
      <c r="BF9" t="s">
        <v>23</v>
      </c>
      <c r="BG9" t="s">
        <v>24</v>
      </c>
      <c r="BH9" s="42">
        <v>4.0002999999999993</v>
      </c>
      <c r="BJ9" s="37" t="s">
        <v>21</v>
      </c>
      <c r="BK9" s="37" t="s">
        <v>22</v>
      </c>
      <c r="BL9" s="41">
        <v>6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3.3333333333333335</v>
      </c>
      <c r="D13" s="3"/>
      <c r="E13" s="3"/>
      <c r="F13" s="3">
        <f>IF(COUNT(F4:F11)&gt;0,AVERAGE(F4:F11),"")</f>
        <v>4.1666833333333333</v>
      </c>
      <c r="G13" s="3"/>
      <c r="H13" s="3"/>
      <c r="I13" s="3">
        <f>IF(COUNT(I4:I11)&gt;0,AVERAGE(I4:I11),"")</f>
        <v>3.1666666666666665</v>
      </c>
      <c r="J13" s="3"/>
      <c r="K13" s="3"/>
      <c r="L13" s="3">
        <f>IF(COUNT(L4:L11)&gt;0,AVERAGE(L4:L11),"")</f>
        <v>4.5</v>
      </c>
      <c r="M13" s="3"/>
      <c r="N13" s="3"/>
      <c r="O13" s="3">
        <f>IF(COUNT(O4:O11)&gt;0,AVERAGE(O4:O11),"")</f>
        <v>3.3333333333333335</v>
      </c>
      <c r="P13" s="3"/>
      <c r="Q13" s="3"/>
      <c r="R13" s="3">
        <f>IF(COUNT(R4:R11)&gt;0,AVERAGE(R4:R11),"")</f>
        <v>4.5000166666666663</v>
      </c>
      <c r="S13" s="3"/>
      <c r="T13" s="3"/>
      <c r="U13" s="3">
        <f>IF(COUNT(U4:U11)&gt;0,AVERAGE(U4:U11),"")</f>
        <v>4</v>
      </c>
      <c r="V13" s="3"/>
      <c r="W13" s="3"/>
      <c r="X13" s="3">
        <f>IF(COUNT(X4:X11)&gt;0,AVERAGE(X4:X11),"")</f>
        <v>5.1666833333333333</v>
      </c>
      <c r="Y13" s="3"/>
      <c r="Z13" s="3"/>
      <c r="AA13" s="3">
        <f>IF(COUNT(AA4:AA11)&gt;0,AVERAGE(AA4:AA11),"")</f>
        <v>3.8333333333333335</v>
      </c>
      <c r="AB13" s="3"/>
      <c r="AC13" s="3"/>
      <c r="AD13" s="3">
        <f>IF(COUNT(AD4:AD11)&gt;0,AVERAGE(AD4:AD11),"")</f>
        <v>4.166666666666667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4.1666833333333333</v>
      </c>
      <c r="AK13" s="3"/>
      <c r="AL13" s="3"/>
      <c r="AM13" s="3">
        <f>IF(COUNT(AM4:AM11)&gt;0,AVERAGE(AM4:AM11),"")</f>
        <v>4</v>
      </c>
      <c r="AN13" s="18"/>
      <c r="AO13" s="18"/>
      <c r="AP13" s="3">
        <f>IF(COUNT(AP4:AP11)&gt;0,AVERAGE(AP4:AP11),"")</f>
        <v>4.1666499999999997</v>
      </c>
      <c r="AQ13" s="18"/>
      <c r="AR13" s="18"/>
      <c r="AS13" s="3">
        <f>IF(COUNT(AS4:AS11)&gt;0,AVERAGE(AS4:AS11),"")</f>
        <v>4.166666666666667</v>
      </c>
      <c r="AT13" s="18"/>
      <c r="AU13" s="18"/>
      <c r="AV13" s="3">
        <f>IF(COUNT(AV4:AV11)&gt;0,AVERAGE(AV4:AV11),"")</f>
        <v>4.5000166666666663</v>
      </c>
      <c r="AW13" s="18"/>
      <c r="AX13" s="18"/>
      <c r="AY13" s="3">
        <f>IF(COUNT(AY4:AY11)&gt;0,AVERAGE(AY4:AY11),"")</f>
        <v>3.8333166666666667</v>
      </c>
      <c r="AZ13" s="18"/>
      <c r="BA13" s="18"/>
      <c r="BB13" s="3">
        <f>IF(COUNT(BB4:BB11)&gt;0,AVERAGE(BB4:BB11),"")</f>
        <v>3.6666666666666665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F3E-018F-4102-B3A5-C65C61397936}">
  <sheetPr codeName="Sheet6"/>
  <dimension ref="A1:BR63"/>
  <sheetViews>
    <sheetView zoomScale="96" zoomScaleNormal="96"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BJ25" sqref="BJ25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44925</v>
      </c>
      <c r="D1" s="53"/>
      <c r="E1" s="54"/>
      <c r="F1" s="52">
        <f>C1+1</f>
        <v>44926</v>
      </c>
      <c r="G1" s="53"/>
      <c r="H1" s="54"/>
      <c r="I1" s="52">
        <f>F1+1</f>
        <v>44927</v>
      </c>
      <c r="J1" s="53"/>
      <c r="K1" s="54"/>
      <c r="L1" s="52">
        <f>I1+1</f>
        <v>44928</v>
      </c>
      <c r="M1" s="53"/>
      <c r="N1" s="54"/>
      <c r="O1" s="52">
        <f>L1+1</f>
        <v>44929</v>
      </c>
      <c r="P1" s="53"/>
      <c r="Q1" s="54"/>
      <c r="R1" s="52">
        <f>O1+1</f>
        <v>44930</v>
      </c>
      <c r="S1" s="53"/>
      <c r="T1" s="54"/>
      <c r="U1" s="52">
        <f>R1+1</f>
        <v>44931</v>
      </c>
      <c r="V1" s="53"/>
      <c r="W1" s="54"/>
      <c r="X1" s="52">
        <f>U1+1</f>
        <v>44932</v>
      </c>
      <c r="Y1" s="53"/>
      <c r="Z1" s="54"/>
      <c r="AA1" s="52">
        <f>X1+1</f>
        <v>44933</v>
      </c>
      <c r="AB1" s="53"/>
      <c r="AC1" s="54"/>
      <c r="AD1" s="52">
        <f>AA1+1</f>
        <v>44934</v>
      </c>
      <c r="AE1" s="53"/>
      <c r="AF1" s="54"/>
      <c r="AG1" s="52">
        <f>AD1+1</f>
        <v>44935</v>
      </c>
      <c r="AH1" s="53"/>
      <c r="AI1" s="54"/>
      <c r="AJ1" s="52">
        <f>AG1+1</f>
        <v>44936</v>
      </c>
      <c r="AK1" s="53"/>
      <c r="AL1" s="54"/>
      <c r="AM1" s="52">
        <f>AJ1+1</f>
        <v>44937</v>
      </c>
      <c r="AN1" s="53"/>
      <c r="AO1" s="54"/>
      <c r="AP1" s="52">
        <f>AM1+1</f>
        <v>44938</v>
      </c>
      <c r="AQ1" s="53"/>
      <c r="AR1" s="54"/>
      <c r="AS1" s="52">
        <f>AP1+1</f>
        <v>44939</v>
      </c>
      <c r="AT1" s="53"/>
      <c r="AU1" s="54"/>
      <c r="AV1" s="52">
        <f>AS1+1</f>
        <v>44940</v>
      </c>
      <c r="AW1" s="53"/>
      <c r="AX1" s="54"/>
      <c r="AY1" s="52">
        <f>AV1+1</f>
        <v>44941</v>
      </c>
      <c r="AZ1" s="53"/>
      <c r="BA1" s="54"/>
      <c r="BB1" s="52">
        <f>AY1+1</f>
        <v>44942</v>
      </c>
      <c r="BC1" s="53"/>
      <c r="BD1" s="54"/>
    </row>
    <row r="2" spans="1:70" x14ac:dyDescent="0.25">
      <c r="B2" s="9" t="s">
        <v>1</v>
      </c>
      <c r="C2" s="49">
        <v>559</v>
      </c>
      <c r="D2" s="50"/>
      <c r="E2" s="51"/>
      <c r="F2" s="49">
        <f>C2+1</f>
        <v>560</v>
      </c>
      <c r="G2" s="50"/>
      <c r="H2" s="51"/>
      <c r="I2" s="49">
        <f>F2+1</f>
        <v>561</v>
      </c>
      <c r="J2" s="50"/>
      <c r="K2" s="51"/>
      <c r="L2" s="49">
        <f>I2+1</f>
        <v>562</v>
      </c>
      <c r="M2" s="50"/>
      <c r="N2" s="51"/>
      <c r="O2" s="49">
        <f>L2+1</f>
        <v>563</v>
      </c>
      <c r="P2" s="50"/>
      <c r="Q2" s="51"/>
      <c r="R2" s="49">
        <f>O2+1</f>
        <v>564</v>
      </c>
      <c r="S2" s="50"/>
      <c r="T2" s="51"/>
      <c r="U2" s="49">
        <f>R2+1</f>
        <v>565</v>
      </c>
      <c r="V2" s="50"/>
      <c r="W2" s="51"/>
      <c r="X2" s="49">
        <f>U2+1</f>
        <v>566</v>
      </c>
      <c r="Y2" s="50"/>
      <c r="Z2" s="51"/>
      <c r="AA2" s="49">
        <f>X2+1</f>
        <v>567</v>
      </c>
      <c r="AB2" s="50"/>
      <c r="AC2" s="51"/>
      <c r="AD2" s="49">
        <f>AA2+1</f>
        <v>568</v>
      </c>
      <c r="AE2" s="50"/>
      <c r="AF2" s="51"/>
      <c r="AG2" s="49">
        <f>AD2+1</f>
        <v>569</v>
      </c>
      <c r="AH2" s="50"/>
      <c r="AI2" s="51"/>
      <c r="AJ2" s="49">
        <f>AG2+1</f>
        <v>570</v>
      </c>
      <c r="AK2" s="50"/>
      <c r="AL2" s="51"/>
      <c r="AM2" s="49">
        <f>AJ2+1</f>
        <v>571</v>
      </c>
      <c r="AN2" s="50"/>
      <c r="AO2" s="51"/>
      <c r="AP2" s="49">
        <f>AM2+1</f>
        <v>572</v>
      </c>
      <c r="AQ2" s="50"/>
      <c r="AR2" s="51"/>
      <c r="AS2" s="49">
        <f>AP2+1</f>
        <v>573</v>
      </c>
      <c r="AT2" s="50"/>
      <c r="AU2" s="51"/>
      <c r="AV2" s="49">
        <f>AS2+1</f>
        <v>574</v>
      </c>
      <c r="AW2" s="50"/>
      <c r="AX2" s="51"/>
      <c r="AY2" s="49">
        <f>AV2+1</f>
        <v>575</v>
      </c>
      <c r="AZ2" s="50"/>
      <c r="BA2" s="51"/>
      <c r="BB2" s="49">
        <f>AY2+1</f>
        <v>576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5</v>
      </c>
      <c r="D4" s="18">
        <f>IF(C4&lt;&gt;"",C4-$B$1,"")</f>
        <v>1</v>
      </c>
      <c r="E4" s="24">
        <f>D4</f>
        <v>1</v>
      </c>
      <c r="F4" s="38">
        <v>3</v>
      </c>
      <c r="G4" s="18">
        <f>IF(F4&lt;&gt;"",F4-$B$1,"")</f>
        <v>-1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3</v>
      </c>
      <c r="M4" s="18">
        <f>IF(L4&lt;&gt;"",L4-$B$1,"")</f>
        <v>-1</v>
      </c>
      <c r="N4" s="13">
        <f>IF(L4&lt;&gt;"",K4+M4,"")</f>
        <v>-2</v>
      </c>
      <c r="O4" s="38">
        <v>3</v>
      </c>
      <c r="P4" s="18">
        <f>IF(O4&lt;&gt;"",O4-$B$1,"")</f>
        <v>-1</v>
      </c>
      <c r="Q4" s="13">
        <f>IF(O4&lt;&gt;"",N4+P4,"")</f>
        <v>-3</v>
      </c>
      <c r="R4" s="38">
        <v>4</v>
      </c>
      <c r="S4" s="18">
        <f>IF(R4&lt;&gt;"",R4-$B$1,"")</f>
        <v>0</v>
      </c>
      <c r="T4" s="13">
        <f>IF(R4&lt;&gt;"",Q4+S4,"")</f>
        <v>-3</v>
      </c>
      <c r="U4" s="38">
        <v>2</v>
      </c>
      <c r="V4" s="18">
        <f>IF(U4&lt;&gt;"",U4-$B$1,"")</f>
        <v>-2</v>
      </c>
      <c r="W4" s="13">
        <f>IF(U4&lt;&gt;"",T4+V4,"")</f>
        <v>-5</v>
      </c>
      <c r="X4" s="38">
        <v>5</v>
      </c>
      <c r="Y4" s="18">
        <f>IF(X4&lt;&gt;"",X4-$B$1,"")</f>
        <v>1</v>
      </c>
      <c r="Z4" s="13">
        <f>IF(X4&lt;&gt;"",W4+Y4,"")</f>
        <v>-4</v>
      </c>
      <c r="AA4" s="38">
        <v>3</v>
      </c>
      <c r="AB4" s="18">
        <f>IF(AA4&lt;&gt;"",AA4-$B$1,"")</f>
        <v>-1</v>
      </c>
      <c r="AC4" s="13">
        <f>IF(AA4&lt;&gt;"",Z4+AB4,"")</f>
        <v>-5</v>
      </c>
      <c r="AD4" s="38">
        <v>4</v>
      </c>
      <c r="AE4" s="18">
        <f t="shared" ref="AE4:AE12" si="0">IF(AD4&lt;&gt;"",AD4-$B$1,"")</f>
        <v>0</v>
      </c>
      <c r="AF4" s="13">
        <f t="shared" ref="AF4:AF12" si="1">IF(AD4&lt;&gt;"",AC4+AE4,"")</f>
        <v>-5</v>
      </c>
      <c r="AG4" s="38">
        <v>5</v>
      </c>
      <c r="AH4" s="18">
        <f t="shared" ref="AH4:AH12" si="2">IF(AG4&lt;&gt;"",AG4-$B$1,"")</f>
        <v>1</v>
      </c>
      <c r="AI4" s="13">
        <f t="shared" ref="AI4:AI12" si="3">IF(AG4&lt;&gt;"",AF4+AH4,"")</f>
        <v>-4</v>
      </c>
      <c r="AJ4" s="38">
        <v>5</v>
      </c>
      <c r="AK4" s="18">
        <f>IF(AJ4&lt;&gt;"",AJ4-$B$1,"")</f>
        <v>1</v>
      </c>
      <c r="AL4" s="13">
        <f>IF(AJ4&lt;&gt;"",AI4+AK4,"")</f>
        <v>-3</v>
      </c>
      <c r="AM4" s="38">
        <v>4</v>
      </c>
      <c r="AN4" s="18">
        <f>IF(AM4&lt;&gt;"",AM4-$B$1,"")</f>
        <v>0</v>
      </c>
      <c r="AO4" s="13">
        <f>IF(AM4&lt;&gt;"",AL4+AN4,"")</f>
        <v>-3</v>
      </c>
      <c r="AP4" s="38">
        <v>2</v>
      </c>
      <c r="AQ4" s="18">
        <f>IF(AP4&lt;&gt;"",AP4-$B$1,"")</f>
        <v>-2</v>
      </c>
      <c r="AR4" s="13">
        <f>IF(AP4&lt;&gt;"",AO4+AQ4,"")</f>
        <v>-5</v>
      </c>
      <c r="AS4" s="38">
        <v>3</v>
      </c>
      <c r="AT4" s="18">
        <f>IF(AS4&lt;&gt;"",AS4-$B$1,"")</f>
        <v>-1</v>
      </c>
      <c r="AU4" s="13">
        <f>IF(AS4&lt;&gt;"",AR4+AT4,"")</f>
        <v>-6</v>
      </c>
      <c r="AV4" s="38">
        <v>4</v>
      </c>
      <c r="AW4" s="18">
        <f>IF(AV4&lt;&gt;"",AV4-$B$1,"")</f>
        <v>0</v>
      </c>
      <c r="AX4" s="13">
        <f>IF(AV4&lt;&gt;"",AU4+AW4,"")</f>
        <v>-6</v>
      </c>
      <c r="AY4" s="38">
        <v>2</v>
      </c>
      <c r="AZ4" s="18">
        <f>IF(AY4&lt;&gt;"",AY4-$B$1,"")</f>
        <v>-2</v>
      </c>
      <c r="BA4" s="13">
        <f>IF(AY4&lt;&gt;"",AX4+AZ4,"")</f>
        <v>-8</v>
      </c>
      <c r="BB4" s="6">
        <v>7.0000999999999998</v>
      </c>
      <c r="BC4" s="18">
        <f>IF(BB4&lt;&gt;"",BB4-$B$1,"")</f>
        <v>3.0000999999999998</v>
      </c>
      <c r="BD4" s="13">
        <f>IF(BB4&lt;&gt;"",BA4+BC4,"")</f>
        <v>-4.9999000000000002</v>
      </c>
      <c r="BF4" t="s">
        <v>9</v>
      </c>
      <c r="BG4" t="s">
        <v>10</v>
      </c>
      <c r="BH4" s="42">
        <v>-4.9999000000000002</v>
      </c>
      <c r="BI4">
        <v>1</v>
      </c>
      <c r="BJ4" t="s">
        <v>29</v>
      </c>
      <c r="BK4" t="s">
        <v>30</v>
      </c>
      <c r="BL4" s="42">
        <v>-21</v>
      </c>
      <c r="BR4" s="40"/>
    </row>
    <row r="5" spans="1:70" x14ac:dyDescent="0.25">
      <c r="A5" t="s">
        <v>11</v>
      </c>
      <c r="B5" t="s">
        <v>12</v>
      </c>
      <c r="C5" s="16">
        <v>6</v>
      </c>
      <c r="D5" s="2">
        <f t="shared" ref="D5:D12" si="4">IF(C5&lt;&gt;"",C5-$B$1,"")</f>
        <v>2</v>
      </c>
      <c r="E5" s="13">
        <f t="shared" ref="E5:E12" si="5">D5</f>
        <v>2</v>
      </c>
      <c r="F5" s="16">
        <v>5</v>
      </c>
      <c r="G5" s="2">
        <f t="shared" ref="G5:G12" si="6">IF(F5&lt;&gt;"",F5-$B$1,"")</f>
        <v>1</v>
      </c>
      <c r="H5" s="13">
        <f t="shared" ref="H5:H12" si="7">IF(F5&lt;&gt;"",E5+G5,"")</f>
        <v>3</v>
      </c>
      <c r="I5" s="16">
        <v>6</v>
      </c>
      <c r="J5" s="2">
        <f t="shared" ref="J5:J12" si="8">IF(I5&lt;&gt;"",I5-$B$1,"")</f>
        <v>2</v>
      </c>
      <c r="K5" s="13">
        <f t="shared" ref="K5:K12" si="9">IF(I5&lt;&gt;"",H5+J5,"")</f>
        <v>5</v>
      </c>
      <c r="L5" s="16">
        <v>5</v>
      </c>
      <c r="M5" s="2">
        <f t="shared" ref="M5:M12" si="10">IF(L5&lt;&gt;"",L5-$B$1,"")</f>
        <v>1</v>
      </c>
      <c r="N5" s="13">
        <f t="shared" ref="N5:N12" si="11">IF(L5&lt;&gt;"",K5+M5,"")</f>
        <v>6</v>
      </c>
      <c r="O5" s="16">
        <v>4</v>
      </c>
      <c r="P5" s="2">
        <f t="shared" ref="P5:P12" si="12">IF(O5&lt;&gt;"",O5-$B$1,"")</f>
        <v>0</v>
      </c>
      <c r="Q5" s="13">
        <f t="shared" ref="Q5:Q12" si="13">IF(O5&lt;&gt;"",N5+P5,"")</f>
        <v>6</v>
      </c>
      <c r="R5" s="16">
        <v>4</v>
      </c>
      <c r="S5" s="2">
        <f t="shared" ref="S5:S12" si="14">IF(R5&lt;&gt;"",R5-$B$1,"")</f>
        <v>0</v>
      </c>
      <c r="T5" s="13">
        <f t="shared" ref="T5:T12" si="15">IF(R5&lt;&gt;"",Q5+S5,"")</f>
        <v>6</v>
      </c>
      <c r="U5" s="16">
        <v>4</v>
      </c>
      <c r="V5" s="2">
        <f t="shared" ref="V5:V12" si="16">IF(U5&lt;&gt;"",U5-$B$1,"")</f>
        <v>0</v>
      </c>
      <c r="W5" s="13">
        <f t="shared" ref="W5:W12" si="17">IF(U5&lt;&gt;"",T5+V5,"")</f>
        <v>6</v>
      </c>
      <c r="X5" s="16">
        <v>4</v>
      </c>
      <c r="Y5" s="2">
        <f t="shared" ref="Y5:Y12" si="18">IF(X5&lt;&gt;"",X5-$B$1,"")</f>
        <v>0</v>
      </c>
      <c r="Z5" s="13">
        <f t="shared" ref="Z5:Z12" si="19">IF(X5&lt;&gt;"",W5+Y5,"")</f>
        <v>6</v>
      </c>
      <c r="AA5" s="16">
        <v>5</v>
      </c>
      <c r="AB5" s="2">
        <f t="shared" ref="AB5:AB12" si="20">IF(AA5&lt;&gt;"",AA5-$B$1,"")</f>
        <v>1</v>
      </c>
      <c r="AC5" s="13">
        <f t="shared" ref="AC5:AC12" si="21">IF(AA5&lt;&gt;"",Z5+AB5,"")</f>
        <v>7</v>
      </c>
      <c r="AD5" s="16">
        <v>5</v>
      </c>
      <c r="AE5" s="2">
        <f t="shared" si="0"/>
        <v>1</v>
      </c>
      <c r="AF5" s="13">
        <f t="shared" si="1"/>
        <v>8</v>
      </c>
      <c r="AG5" s="16">
        <v>5</v>
      </c>
      <c r="AH5" s="2">
        <f t="shared" si="2"/>
        <v>1</v>
      </c>
      <c r="AI5" s="13">
        <f t="shared" si="3"/>
        <v>9</v>
      </c>
      <c r="AJ5" s="16">
        <v>5</v>
      </c>
      <c r="AK5" s="2">
        <f t="shared" ref="AK5:AK12" si="22">IF(AJ5&lt;&gt;"",AJ5-$B$1,"")</f>
        <v>1</v>
      </c>
      <c r="AL5" s="13">
        <f t="shared" ref="AL5:AL12" si="23">IF(AJ5&lt;&gt;"",AI5+AK5,"")</f>
        <v>10</v>
      </c>
      <c r="AM5" s="16">
        <v>4</v>
      </c>
      <c r="AN5" s="2">
        <f t="shared" ref="AN5:AN12" si="24">IF(AM5&lt;&gt;"",AM5-$B$1,"")</f>
        <v>0</v>
      </c>
      <c r="AO5" s="13">
        <f t="shared" ref="AO5:AO12" si="25">IF(AM5&lt;&gt;"",AL5+AN5,"")</f>
        <v>10</v>
      </c>
      <c r="AP5" s="16">
        <v>4</v>
      </c>
      <c r="AQ5" s="2">
        <f t="shared" ref="AQ5:AQ12" si="26">IF(AP5&lt;&gt;"",AP5-$B$1,"")</f>
        <v>0</v>
      </c>
      <c r="AR5" s="13">
        <f t="shared" ref="AR5:AR11" si="27">IF(AP5&lt;&gt;"",AO5+AQ5,"")</f>
        <v>10</v>
      </c>
      <c r="AS5" s="16">
        <v>4</v>
      </c>
      <c r="AT5" s="2">
        <f t="shared" ref="AT5:AT11" si="28">IF(AS5&lt;&gt;"",AS5-$B$1,"")</f>
        <v>0</v>
      </c>
      <c r="AU5" s="13">
        <f>IF(AS5&lt;&gt;"",AR5+AT5,"")</f>
        <v>10</v>
      </c>
      <c r="AV5" s="16">
        <v>4</v>
      </c>
      <c r="AW5" s="2">
        <f t="shared" ref="AW5:AW12" si="29">IF(AV5&lt;&gt;"",AV5-$B$1,"")</f>
        <v>0</v>
      </c>
      <c r="AX5" s="13">
        <f t="shared" ref="AX5:AX12" si="30">IF(AV5&lt;&gt;"",AU5+AW5,"")</f>
        <v>10</v>
      </c>
      <c r="AY5" s="16">
        <v>5</v>
      </c>
      <c r="AZ5" s="2">
        <f t="shared" ref="AZ5:AZ12" si="31">IF(AY5&lt;&gt;"",AY5-$B$1,"")</f>
        <v>1</v>
      </c>
      <c r="BA5" s="13">
        <f t="shared" ref="BA5:BA12" si="32">IF(AY5&lt;&gt;"",AX5+AZ5,"")</f>
        <v>11</v>
      </c>
      <c r="BB5" s="16">
        <v>5</v>
      </c>
      <c r="BC5" s="2">
        <f t="shared" ref="BC5:BC12" si="33">IF(BB5&lt;&gt;"",BB5-$B$1,"")</f>
        <v>1</v>
      </c>
      <c r="BD5" s="13">
        <f t="shared" ref="BD5:BD12" si="34">IF(BB5&lt;&gt;"",BA5+BC5,"")</f>
        <v>12</v>
      </c>
      <c r="BF5" t="s">
        <v>11</v>
      </c>
      <c r="BG5" t="s">
        <v>12</v>
      </c>
      <c r="BH5" s="42">
        <v>12</v>
      </c>
      <c r="BI5">
        <v>2</v>
      </c>
      <c r="BJ5" t="s">
        <v>21</v>
      </c>
      <c r="BK5" t="s">
        <v>31</v>
      </c>
      <c r="BL5" s="42">
        <v>-20</v>
      </c>
      <c r="BR5" s="40"/>
    </row>
    <row r="6" spans="1:70" x14ac:dyDescent="0.25">
      <c r="A6" t="s">
        <v>17</v>
      </c>
      <c r="B6" t="s">
        <v>18</v>
      </c>
      <c r="C6" s="16">
        <v>4</v>
      </c>
      <c r="D6" s="2">
        <f t="shared" si="4"/>
        <v>0</v>
      </c>
      <c r="E6" s="13">
        <f t="shared" si="5"/>
        <v>0</v>
      </c>
      <c r="F6" s="16">
        <v>2</v>
      </c>
      <c r="G6" s="2">
        <f t="shared" si="6"/>
        <v>-2</v>
      </c>
      <c r="H6" s="13">
        <f t="shared" si="7"/>
        <v>-2</v>
      </c>
      <c r="I6" s="6">
        <v>7.0000999999999998</v>
      </c>
      <c r="J6" s="2">
        <f t="shared" si="8"/>
        <v>3.0000999999999998</v>
      </c>
      <c r="K6" s="13">
        <f t="shared" si="9"/>
        <v>1.0000999999999998</v>
      </c>
      <c r="L6" s="6">
        <v>7.0000999999999998</v>
      </c>
      <c r="M6" s="2">
        <f t="shared" si="10"/>
        <v>3.0000999999999998</v>
      </c>
      <c r="N6" s="13">
        <f t="shared" si="11"/>
        <v>4.0001999999999995</v>
      </c>
      <c r="O6" s="6">
        <v>7.0000999999999998</v>
      </c>
      <c r="P6" s="2">
        <f t="shared" si="12"/>
        <v>3.0000999999999998</v>
      </c>
      <c r="Q6" s="13">
        <f t="shared" si="13"/>
        <v>7.0002999999999993</v>
      </c>
      <c r="R6" s="16">
        <v>4</v>
      </c>
      <c r="S6" s="2">
        <f t="shared" si="14"/>
        <v>0</v>
      </c>
      <c r="T6" s="13">
        <f t="shared" si="15"/>
        <v>7.0002999999999993</v>
      </c>
      <c r="U6" s="16">
        <v>4</v>
      </c>
      <c r="V6" s="2">
        <f t="shared" si="16"/>
        <v>0</v>
      </c>
      <c r="W6" s="13">
        <f t="shared" si="17"/>
        <v>7.0002999999999993</v>
      </c>
      <c r="X6" s="6">
        <v>7.0000999999999998</v>
      </c>
      <c r="Y6" s="2">
        <f t="shared" si="18"/>
        <v>3.0000999999999998</v>
      </c>
      <c r="Z6" s="13">
        <f t="shared" si="19"/>
        <v>10.000399999999999</v>
      </c>
      <c r="AA6" s="6">
        <v>7.0000999999999998</v>
      </c>
      <c r="AB6" s="2">
        <f t="shared" si="20"/>
        <v>3.0000999999999998</v>
      </c>
      <c r="AC6" s="13">
        <f t="shared" si="21"/>
        <v>13.000499999999999</v>
      </c>
      <c r="AD6" s="16">
        <v>4</v>
      </c>
      <c r="AE6" s="2">
        <f t="shared" si="0"/>
        <v>0</v>
      </c>
      <c r="AF6" s="13">
        <f t="shared" si="1"/>
        <v>13.000499999999999</v>
      </c>
      <c r="AG6" s="16">
        <v>5</v>
      </c>
      <c r="AH6" s="2">
        <f t="shared" si="2"/>
        <v>1</v>
      </c>
      <c r="AI6" s="13">
        <f t="shared" si="3"/>
        <v>14.000499999999999</v>
      </c>
      <c r="AJ6" s="6">
        <v>7.0000999999999998</v>
      </c>
      <c r="AK6" s="2">
        <f t="shared" si="22"/>
        <v>3.0000999999999998</v>
      </c>
      <c r="AL6" s="13">
        <f t="shared" si="23"/>
        <v>17.000599999999999</v>
      </c>
      <c r="AM6" s="6">
        <v>7.0000999999999998</v>
      </c>
      <c r="AN6" s="2">
        <f t="shared" si="24"/>
        <v>3.0000999999999998</v>
      </c>
      <c r="AO6" s="13">
        <f t="shared" si="25"/>
        <v>20.000699999999998</v>
      </c>
      <c r="AP6" s="16">
        <v>4</v>
      </c>
      <c r="AQ6" s="2">
        <f t="shared" si="26"/>
        <v>0</v>
      </c>
      <c r="AR6" s="13">
        <f t="shared" si="27"/>
        <v>20.000699999999998</v>
      </c>
      <c r="AS6" s="6">
        <v>7.0000999999999998</v>
      </c>
      <c r="AT6" s="2">
        <f t="shared" si="28"/>
        <v>3.0000999999999998</v>
      </c>
      <c r="AU6" s="13">
        <f>IF(AS6&lt;&gt;"",AR6+AT6,"")</f>
        <v>23.000799999999998</v>
      </c>
      <c r="AV6" s="6">
        <v>7.0000999999999998</v>
      </c>
      <c r="AW6" s="2">
        <f t="shared" si="29"/>
        <v>3.0000999999999998</v>
      </c>
      <c r="AX6" s="13">
        <f t="shared" si="30"/>
        <v>26.000899999999998</v>
      </c>
      <c r="AY6" s="16">
        <v>4</v>
      </c>
      <c r="AZ6" s="2">
        <f t="shared" si="31"/>
        <v>0</v>
      </c>
      <c r="BA6" s="13">
        <f t="shared" si="32"/>
        <v>26.000899999999998</v>
      </c>
      <c r="BB6" s="6">
        <v>7.0000999999999998</v>
      </c>
      <c r="BC6" s="2">
        <f t="shared" si="33"/>
        <v>3.0000999999999998</v>
      </c>
      <c r="BD6" s="13">
        <f t="shared" si="34"/>
        <v>29.000999999999998</v>
      </c>
      <c r="BF6" t="s">
        <v>17</v>
      </c>
      <c r="BG6" t="s">
        <v>18</v>
      </c>
      <c r="BH6" s="42">
        <v>29.000999999999998</v>
      </c>
      <c r="BI6">
        <v>3</v>
      </c>
      <c r="BJ6" t="s">
        <v>9</v>
      </c>
      <c r="BK6" t="s">
        <v>10</v>
      </c>
      <c r="BL6" s="42">
        <v>-4.9999000000000002</v>
      </c>
      <c r="BR6" s="40"/>
    </row>
    <row r="7" spans="1:70" x14ac:dyDescent="0.25">
      <c r="A7" t="s">
        <v>15</v>
      </c>
      <c r="B7" t="s">
        <v>16</v>
      </c>
      <c r="C7" s="16">
        <v>5</v>
      </c>
      <c r="D7" s="2">
        <f t="shared" si="4"/>
        <v>1</v>
      </c>
      <c r="E7" s="13">
        <f t="shared" si="5"/>
        <v>1</v>
      </c>
      <c r="F7" s="6">
        <v>7.0000999999999998</v>
      </c>
      <c r="G7" s="2">
        <f t="shared" si="6"/>
        <v>3.0000999999999998</v>
      </c>
      <c r="H7" s="13">
        <f t="shared" si="7"/>
        <v>4.0000999999999998</v>
      </c>
      <c r="I7" s="16">
        <v>3</v>
      </c>
      <c r="J7" s="2">
        <f t="shared" si="8"/>
        <v>-1</v>
      </c>
      <c r="K7" s="13">
        <f t="shared" si="9"/>
        <v>3.0000999999999998</v>
      </c>
      <c r="L7" s="16">
        <v>6</v>
      </c>
      <c r="M7" s="2">
        <f t="shared" si="10"/>
        <v>2</v>
      </c>
      <c r="N7" s="13">
        <f t="shared" si="11"/>
        <v>5.0000999999999998</v>
      </c>
      <c r="O7" s="16">
        <v>3</v>
      </c>
      <c r="P7" s="2">
        <f t="shared" si="12"/>
        <v>-1</v>
      </c>
      <c r="Q7" s="13">
        <f t="shared" si="13"/>
        <v>4.0000999999999998</v>
      </c>
      <c r="R7" s="8">
        <v>6.9999000000000002</v>
      </c>
      <c r="S7" s="2">
        <f t="shared" si="14"/>
        <v>2.9999000000000002</v>
      </c>
      <c r="T7" s="13">
        <f t="shared" si="15"/>
        <v>7</v>
      </c>
      <c r="U7" s="16">
        <v>5</v>
      </c>
      <c r="V7" s="2">
        <f t="shared" si="16"/>
        <v>1</v>
      </c>
      <c r="W7" s="13">
        <f t="shared" si="17"/>
        <v>8</v>
      </c>
      <c r="X7" s="6">
        <v>7.0000999999999998</v>
      </c>
      <c r="Y7" s="2">
        <f t="shared" si="18"/>
        <v>3.0000999999999998</v>
      </c>
      <c r="Z7" s="13">
        <f t="shared" si="19"/>
        <v>11.0001</v>
      </c>
      <c r="AA7" s="16">
        <v>4</v>
      </c>
      <c r="AB7" s="2">
        <f t="shared" si="20"/>
        <v>0</v>
      </c>
      <c r="AC7" s="13">
        <f t="shared" si="21"/>
        <v>11.0001</v>
      </c>
      <c r="AD7" s="6">
        <v>7.0000999999999998</v>
      </c>
      <c r="AE7" s="2">
        <f t="shared" si="0"/>
        <v>3.0000999999999998</v>
      </c>
      <c r="AF7" s="13">
        <f t="shared" si="1"/>
        <v>14.0002</v>
      </c>
      <c r="AG7" s="16">
        <v>3</v>
      </c>
      <c r="AH7" s="2">
        <f t="shared" si="2"/>
        <v>-1</v>
      </c>
      <c r="AI7" s="13">
        <f t="shared" si="3"/>
        <v>13.0002</v>
      </c>
      <c r="AJ7" s="16">
        <v>4</v>
      </c>
      <c r="AK7" s="2">
        <f t="shared" si="22"/>
        <v>0</v>
      </c>
      <c r="AL7" s="13">
        <f t="shared" si="23"/>
        <v>13.0002</v>
      </c>
      <c r="AM7" s="16">
        <v>3</v>
      </c>
      <c r="AN7" s="2">
        <f t="shared" si="24"/>
        <v>-1</v>
      </c>
      <c r="AO7" s="13">
        <f t="shared" si="25"/>
        <v>12.0002</v>
      </c>
      <c r="AP7" s="16">
        <v>4</v>
      </c>
      <c r="AQ7" s="2">
        <f t="shared" si="26"/>
        <v>0</v>
      </c>
      <c r="AR7" s="13">
        <f>IF(AP7&lt;&gt;"",AO7+AQ7,"")</f>
        <v>12.0002</v>
      </c>
      <c r="AS7" s="16">
        <v>3</v>
      </c>
      <c r="AT7" s="2">
        <f t="shared" si="28"/>
        <v>-1</v>
      </c>
      <c r="AU7" s="13">
        <f t="shared" ref="AU7:AU10" si="35">IF(AS7&lt;&gt;"",AR7+AT7,"")</f>
        <v>11.0002</v>
      </c>
      <c r="AV7" s="16">
        <v>4</v>
      </c>
      <c r="AW7" s="2">
        <f t="shared" si="29"/>
        <v>0</v>
      </c>
      <c r="AX7" s="13">
        <f t="shared" si="30"/>
        <v>11.0002</v>
      </c>
      <c r="AY7" s="16">
        <v>3</v>
      </c>
      <c r="AZ7" s="2">
        <f t="shared" si="31"/>
        <v>-1</v>
      </c>
      <c r="BA7" s="13">
        <f t="shared" si="32"/>
        <v>10.0002</v>
      </c>
      <c r="BB7" s="16">
        <v>4</v>
      </c>
      <c r="BC7" s="2">
        <f t="shared" si="33"/>
        <v>0</v>
      </c>
      <c r="BD7" s="13">
        <f t="shared" si="34"/>
        <v>10.0002</v>
      </c>
      <c r="BF7" t="s">
        <v>15</v>
      </c>
      <c r="BG7" t="s">
        <v>16</v>
      </c>
      <c r="BH7" s="42">
        <v>10.0002</v>
      </c>
      <c r="BI7">
        <v>4</v>
      </c>
      <c r="BJ7" t="s">
        <v>19</v>
      </c>
      <c r="BK7" t="s">
        <v>20</v>
      </c>
      <c r="BL7" s="42">
        <v>1.0000999999999998</v>
      </c>
      <c r="BR7" s="40"/>
    </row>
    <row r="8" spans="1:70" x14ac:dyDescent="0.25">
      <c r="A8" t="s">
        <v>29</v>
      </c>
      <c r="B8" t="s">
        <v>30</v>
      </c>
      <c r="C8" s="16">
        <v>3</v>
      </c>
      <c r="D8" s="2">
        <f t="shared" si="4"/>
        <v>-1</v>
      </c>
      <c r="E8" s="13">
        <f t="shared" si="5"/>
        <v>-1</v>
      </c>
      <c r="F8" s="16">
        <v>3</v>
      </c>
      <c r="G8" s="2">
        <f t="shared" si="6"/>
        <v>-1</v>
      </c>
      <c r="H8" s="13">
        <f t="shared" si="7"/>
        <v>-2</v>
      </c>
      <c r="I8" s="16">
        <v>3</v>
      </c>
      <c r="J8" s="2">
        <f t="shared" si="8"/>
        <v>-1</v>
      </c>
      <c r="K8" s="13">
        <f t="shared" si="9"/>
        <v>-3</v>
      </c>
      <c r="L8" s="16">
        <v>2</v>
      </c>
      <c r="M8" s="2">
        <f t="shared" si="10"/>
        <v>-2</v>
      </c>
      <c r="N8" s="13">
        <f t="shared" si="11"/>
        <v>-5</v>
      </c>
      <c r="O8" s="16">
        <v>3</v>
      </c>
      <c r="P8" s="2">
        <f t="shared" si="12"/>
        <v>-1</v>
      </c>
      <c r="Q8" s="13">
        <f t="shared" si="13"/>
        <v>-6</v>
      </c>
      <c r="R8" s="16">
        <v>3</v>
      </c>
      <c r="S8" s="2">
        <f t="shared" si="14"/>
        <v>-1</v>
      </c>
      <c r="T8" s="13">
        <f t="shared" si="15"/>
        <v>-7</v>
      </c>
      <c r="U8" s="16">
        <v>3</v>
      </c>
      <c r="V8" s="2">
        <f t="shared" si="16"/>
        <v>-1</v>
      </c>
      <c r="W8" s="13">
        <f t="shared" si="17"/>
        <v>-8</v>
      </c>
      <c r="X8" s="16">
        <v>3</v>
      </c>
      <c r="Y8" s="2">
        <f t="shared" si="18"/>
        <v>-1</v>
      </c>
      <c r="Z8" s="13">
        <f t="shared" si="19"/>
        <v>-9</v>
      </c>
      <c r="AA8" s="16">
        <v>3</v>
      </c>
      <c r="AB8" s="2">
        <f t="shared" si="20"/>
        <v>-1</v>
      </c>
      <c r="AC8" s="13">
        <f t="shared" si="21"/>
        <v>-10</v>
      </c>
      <c r="AD8" s="16">
        <v>2</v>
      </c>
      <c r="AE8" s="2">
        <f t="shared" si="0"/>
        <v>-2</v>
      </c>
      <c r="AF8" s="13">
        <f t="shared" si="1"/>
        <v>-12</v>
      </c>
      <c r="AG8" s="16">
        <v>3</v>
      </c>
      <c r="AH8" s="2">
        <f t="shared" si="2"/>
        <v>-1</v>
      </c>
      <c r="AI8" s="13">
        <f t="shared" si="3"/>
        <v>-13</v>
      </c>
      <c r="AJ8" s="16">
        <v>3</v>
      </c>
      <c r="AK8" s="2">
        <f t="shared" si="22"/>
        <v>-1</v>
      </c>
      <c r="AL8" s="13">
        <f t="shared" si="23"/>
        <v>-14</v>
      </c>
      <c r="AM8" s="16">
        <v>3</v>
      </c>
      <c r="AN8" s="2">
        <f t="shared" si="24"/>
        <v>-1</v>
      </c>
      <c r="AO8" s="13">
        <f t="shared" si="25"/>
        <v>-15</v>
      </c>
      <c r="AP8" s="16">
        <v>3</v>
      </c>
      <c r="AQ8" s="2">
        <f t="shared" si="26"/>
        <v>-1</v>
      </c>
      <c r="AR8" s="13">
        <f t="shared" si="27"/>
        <v>-16</v>
      </c>
      <c r="AS8" s="16">
        <v>3</v>
      </c>
      <c r="AT8" s="2">
        <f t="shared" si="28"/>
        <v>-1</v>
      </c>
      <c r="AU8" s="13">
        <f>IF(AS8&lt;&gt;"",AR8+AT8,"")</f>
        <v>-17</v>
      </c>
      <c r="AV8" s="16">
        <v>3</v>
      </c>
      <c r="AW8" s="2">
        <f t="shared" si="29"/>
        <v>-1</v>
      </c>
      <c r="AX8" s="13">
        <f t="shared" si="30"/>
        <v>-18</v>
      </c>
      <c r="AY8" s="16">
        <v>2</v>
      </c>
      <c r="AZ8" s="2">
        <f t="shared" si="31"/>
        <v>-2</v>
      </c>
      <c r="BA8" s="13">
        <f t="shared" si="32"/>
        <v>-20</v>
      </c>
      <c r="BB8" s="16">
        <v>3</v>
      </c>
      <c r="BC8" s="2">
        <f t="shared" si="33"/>
        <v>-1</v>
      </c>
      <c r="BD8" s="13">
        <f t="shared" si="34"/>
        <v>-21</v>
      </c>
      <c r="BF8" t="s">
        <v>29</v>
      </c>
      <c r="BG8" t="s">
        <v>30</v>
      </c>
      <c r="BH8" s="42">
        <v>-21</v>
      </c>
      <c r="BI8">
        <v>5</v>
      </c>
      <c r="BJ8" t="s">
        <v>23</v>
      </c>
      <c r="BK8" t="s">
        <v>24</v>
      </c>
      <c r="BL8" s="42">
        <v>3.0000999999999998</v>
      </c>
      <c r="BR8" s="40"/>
    </row>
    <row r="9" spans="1:70" x14ac:dyDescent="0.25">
      <c r="A9" t="s">
        <v>19</v>
      </c>
      <c r="B9" t="s">
        <v>20</v>
      </c>
      <c r="C9" s="16">
        <v>4</v>
      </c>
      <c r="D9" s="2">
        <f t="shared" si="4"/>
        <v>0</v>
      </c>
      <c r="E9" s="13">
        <f t="shared" si="5"/>
        <v>0</v>
      </c>
      <c r="F9" s="16">
        <v>4</v>
      </c>
      <c r="G9" s="2">
        <f t="shared" si="6"/>
        <v>0</v>
      </c>
      <c r="H9" s="13">
        <f t="shared" si="7"/>
        <v>0</v>
      </c>
      <c r="I9" s="16">
        <v>4</v>
      </c>
      <c r="J9" s="2">
        <f t="shared" si="8"/>
        <v>0</v>
      </c>
      <c r="K9" s="13">
        <f t="shared" si="9"/>
        <v>0</v>
      </c>
      <c r="L9" s="16">
        <v>4</v>
      </c>
      <c r="M9" s="2">
        <f t="shared" si="10"/>
        <v>0</v>
      </c>
      <c r="N9" s="13">
        <f t="shared" si="11"/>
        <v>0</v>
      </c>
      <c r="O9" s="16">
        <v>3</v>
      </c>
      <c r="P9" s="2">
        <f t="shared" si="12"/>
        <v>-1</v>
      </c>
      <c r="Q9" s="13">
        <f t="shared" si="13"/>
        <v>-1</v>
      </c>
      <c r="R9" s="6">
        <v>7.0000999999999998</v>
      </c>
      <c r="S9" s="2">
        <f t="shared" si="14"/>
        <v>3.0000999999999998</v>
      </c>
      <c r="T9" s="13">
        <f t="shared" si="15"/>
        <v>2.0000999999999998</v>
      </c>
      <c r="U9" s="16">
        <v>5</v>
      </c>
      <c r="V9" s="2">
        <f t="shared" si="16"/>
        <v>1</v>
      </c>
      <c r="W9" s="13">
        <f t="shared" si="17"/>
        <v>3.0000999999999998</v>
      </c>
      <c r="X9" s="16">
        <v>5</v>
      </c>
      <c r="Y9" s="2">
        <f t="shared" si="18"/>
        <v>1</v>
      </c>
      <c r="Z9" s="13">
        <f t="shared" si="19"/>
        <v>4.0000999999999998</v>
      </c>
      <c r="AA9" s="16">
        <v>3</v>
      </c>
      <c r="AB9" s="2">
        <f t="shared" si="20"/>
        <v>-1</v>
      </c>
      <c r="AC9" s="13">
        <f t="shared" si="21"/>
        <v>3.0000999999999998</v>
      </c>
      <c r="AD9" s="16">
        <v>4</v>
      </c>
      <c r="AE9" s="2">
        <f t="shared" si="0"/>
        <v>0</v>
      </c>
      <c r="AF9" s="13">
        <f t="shared" si="1"/>
        <v>3.0000999999999998</v>
      </c>
      <c r="AG9" s="16">
        <v>5</v>
      </c>
      <c r="AH9" s="2">
        <f t="shared" si="2"/>
        <v>1</v>
      </c>
      <c r="AI9" s="13">
        <f t="shared" si="3"/>
        <v>4.0000999999999998</v>
      </c>
      <c r="AJ9" s="16">
        <v>4</v>
      </c>
      <c r="AK9" s="2">
        <f t="shared" si="22"/>
        <v>0</v>
      </c>
      <c r="AL9" s="13">
        <f t="shared" si="23"/>
        <v>4.0000999999999998</v>
      </c>
      <c r="AM9" s="16">
        <v>3</v>
      </c>
      <c r="AN9" s="2">
        <f t="shared" si="24"/>
        <v>-1</v>
      </c>
      <c r="AO9" s="13">
        <f t="shared" si="25"/>
        <v>3.0000999999999998</v>
      </c>
      <c r="AP9" s="16">
        <v>3</v>
      </c>
      <c r="AQ9" s="2">
        <f t="shared" si="26"/>
        <v>-1</v>
      </c>
      <c r="AR9" s="13">
        <f t="shared" si="27"/>
        <v>2.0000999999999998</v>
      </c>
      <c r="AS9" s="16">
        <v>3</v>
      </c>
      <c r="AT9" s="2">
        <f t="shared" si="28"/>
        <v>-1</v>
      </c>
      <c r="AU9" s="13">
        <f>IF(AS9&lt;&gt;"",AR9+AT9,"")</f>
        <v>1.0000999999999998</v>
      </c>
      <c r="AV9" s="16">
        <v>4</v>
      </c>
      <c r="AW9" s="2">
        <f t="shared" si="29"/>
        <v>0</v>
      </c>
      <c r="AX9" s="13">
        <f t="shared" si="30"/>
        <v>1.0000999999999998</v>
      </c>
      <c r="AY9" s="16">
        <v>3</v>
      </c>
      <c r="AZ9" s="2">
        <f t="shared" si="31"/>
        <v>-1</v>
      </c>
      <c r="BA9" s="13">
        <f t="shared" si="32"/>
        <v>9.9999999999766942E-5</v>
      </c>
      <c r="BB9" s="16">
        <v>5</v>
      </c>
      <c r="BC9" s="2">
        <f t="shared" si="33"/>
        <v>1</v>
      </c>
      <c r="BD9" s="13">
        <f t="shared" si="34"/>
        <v>1.0000999999999998</v>
      </c>
      <c r="BF9" t="s">
        <v>19</v>
      </c>
      <c r="BG9" t="s">
        <v>20</v>
      </c>
      <c r="BH9" s="42">
        <v>1.0000999999999998</v>
      </c>
      <c r="BI9">
        <v>6</v>
      </c>
      <c r="BJ9" t="s">
        <v>15</v>
      </c>
      <c r="BK9" t="s">
        <v>16</v>
      </c>
      <c r="BL9" s="42">
        <v>10.0002</v>
      </c>
      <c r="BR9" s="40"/>
    </row>
    <row r="10" spans="1:70" x14ac:dyDescent="0.25">
      <c r="A10" t="s">
        <v>21</v>
      </c>
      <c r="B10" t="s">
        <v>22</v>
      </c>
      <c r="C10" s="6">
        <v>7.0000999999999998</v>
      </c>
      <c r="D10" s="2">
        <f t="shared" si="4"/>
        <v>3.0000999999999998</v>
      </c>
      <c r="E10" s="13">
        <f t="shared" si="5"/>
        <v>3.0000999999999998</v>
      </c>
      <c r="F10" s="6">
        <v>7.0000999999999998</v>
      </c>
      <c r="G10" s="2">
        <f t="shared" si="6"/>
        <v>3.0000999999999998</v>
      </c>
      <c r="H10" s="13">
        <f t="shared" si="7"/>
        <v>6.0001999999999995</v>
      </c>
      <c r="I10" s="16">
        <v>3</v>
      </c>
      <c r="J10" s="2">
        <f t="shared" si="8"/>
        <v>-1</v>
      </c>
      <c r="K10" s="13">
        <f t="shared" si="9"/>
        <v>5.0001999999999995</v>
      </c>
      <c r="L10" s="6">
        <v>7.0000999999999998</v>
      </c>
      <c r="M10" s="2">
        <f t="shared" si="10"/>
        <v>3.0000999999999998</v>
      </c>
      <c r="N10" s="13">
        <f t="shared" si="11"/>
        <v>8.0002999999999993</v>
      </c>
      <c r="O10" s="16">
        <v>3</v>
      </c>
      <c r="P10" s="2">
        <f t="shared" si="12"/>
        <v>-1</v>
      </c>
      <c r="Q10" s="13">
        <f t="shared" si="13"/>
        <v>7.0002999999999993</v>
      </c>
      <c r="R10" s="6">
        <v>7.0000999999999998</v>
      </c>
      <c r="S10" s="2">
        <f t="shared" si="14"/>
        <v>3.0000999999999998</v>
      </c>
      <c r="T10" s="13">
        <f t="shared" si="15"/>
        <v>10.000399999999999</v>
      </c>
      <c r="U10" s="16">
        <v>2</v>
      </c>
      <c r="V10" s="2">
        <f t="shared" si="16"/>
        <v>-2</v>
      </c>
      <c r="W10" s="13">
        <f t="shared" si="17"/>
        <v>8.0003999999999991</v>
      </c>
      <c r="X10" s="8">
        <v>6.9999000000000002</v>
      </c>
      <c r="Y10" s="2">
        <f t="shared" si="18"/>
        <v>2.9999000000000002</v>
      </c>
      <c r="Z10" s="13">
        <f t="shared" si="19"/>
        <v>11.000299999999999</v>
      </c>
      <c r="AA10" s="16">
        <v>4</v>
      </c>
      <c r="AB10" s="2">
        <f t="shared" si="20"/>
        <v>0</v>
      </c>
      <c r="AC10" s="13">
        <f t="shared" si="21"/>
        <v>11.000299999999999</v>
      </c>
      <c r="AD10" s="16">
        <v>4</v>
      </c>
      <c r="AE10" s="2">
        <f t="shared" si="0"/>
        <v>0</v>
      </c>
      <c r="AF10" s="13">
        <f t="shared" si="1"/>
        <v>11.000299999999999</v>
      </c>
      <c r="AG10" s="16">
        <v>5</v>
      </c>
      <c r="AH10" s="2">
        <f t="shared" si="2"/>
        <v>1</v>
      </c>
      <c r="AI10" s="13">
        <f t="shared" si="3"/>
        <v>12.000299999999999</v>
      </c>
      <c r="AJ10" s="16">
        <v>5</v>
      </c>
      <c r="AK10" s="2">
        <f t="shared" si="22"/>
        <v>1</v>
      </c>
      <c r="AL10" s="13">
        <f t="shared" si="23"/>
        <v>13.000299999999999</v>
      </c>
      <c r="AM10" s="16">
        <v>4</v>
      </c>
      <c r="AN10" s="2">
        <f t="shared" si="24"/>
        <v>0</v>
      </c>
      <c r="AO10" s="13">
        <f t="shared" si="25"/>
        <v>13.000299999999999</v>
      </c>
      <c r="AP10" s="16">
        <v>3</v>
      </c>
      <c r="AQ10" s="2">
        <f t="shared" si="26"/>
        <v>-1</v>
      </c>
      <c r="AR10" s="13">
        <f>IF(AP10&lt;&gt;"",AO10+AQ10,"")</f>
        <v>12.000299999999999</v>
      </c>
      <c r="AS10" s="6">
        <v>7.0000999999999998</v>
      </c>
      <c r="AT10" s="2">
        <f t="shared" si="28"/>
        <v>3.0000999999999998</v>
      </c>
      <c r="AU10" s="13">
        <f t="shared" si="35"/>
        <v>15.000399999999999</v>
      </c>
      <c r="AV10" s="16">
        <v>4</v>
      </c>
      <c r="AW10" s="2">
        <f t="shared" si="29"/>
        <v>0</v>
      </c>
      <c r="AX10" s="13">
        <f t="shared" si="30"/>
        <v>15.000399999999999</v>
      </c>
      <c r="AY10" s="16">
        <v>4</v>
      </c>
      <c r="AZ10" s="2">
        <f t="shared" si="31"/>
        <v>0</v>
      </c>
      <c r="BA10" s="13">
        <f t="shared" si="32"/>
        <v>15.000399999999999</v>
      </c>
      <c r="BB10" s="16">
        <v>3</v>
      </c>
      <c r="BC10" s="2">
        <f t="shared" si="33"/>
        <v>-1</v>
      </c>
      <c r="BD10" s="13">
        <f t="shared" si="34"/>
        <v>14.000399999999999</v>
      </c>
      <c r="BF10" t="s">
        <v>21</v>
      </c>
      <c r="BG10" t="s">
        <v>22</v>
      </c>
      <c r="BH10" s="42">
        <v>14.000399999999999</v>
      </c>
      <c r="BI10">
        <v>7</v>
      </c>
      <c r="BJ10" t="s">
        <v>11</v>
      </c>
      <c r="BK10" t="s">
        <v>12</v>
      </c>
      <c r="BL10" s="42">
        <v>12</v>
      </c>
      <c r="BR10" s="40"/>
    </row>
    <row r="11" spans="1:70" x14ac:dyDescent="0.25">
      <c r="A11" t="s">
        <v>21</v>
      </c>
      <c r="B11" t="s">
        <v>31</v>
      </c>
      <c r="C11" s="16">
        <v>2</v>
      </c>
      <c r="D11" s="2">
        <f t="shared" si="4"/>
        <v>-2</v>
      </c>
      <c r="E11" s="13">
        <f t="shared" si="5"/>
        <v>-2</v>
      </c>
      <c r="F11" s="16">
        <v>3</v>
      </c>
      <c r="G11" s="2">
        <f t="shared" si="6"/>
        <v>-1</v>
      </c>
      <c r="H11" s="13">
        <f t="shared" si="7"/>
        <v>-3</v>
      </c>
      <c r="I11" s="16">
        <v>3</v>
      </c>
      <c r="J11" s="2">
        <f t="shared" si="8"/>
        <v>-1</v>
      </c>
      <c r="K11" s="13">
        <f t="shared" si="9"/>
        <v>-4</v>
      </c>
      <c r="L11" s="16">
        <v>2</v>
      </c>
      <c r="M11" s="2">
        <f t="shared" si="10"/>
        <v>-2</v>
      </c>
      <c r="N11" s="13">
        <f t="shared" si="11"/>
        <v>-6</v>
      </c>
      <c r="O11" s="16">
        <v>3</v>
      </c>
      <c r="P11" s="2">
        <f t="shared" si="12"/>
        <v>-1</v>
      </c>
      <c r="Q11" s="13">
        <f t="shared" si="13"/>
        <v>-7</v>
      </c>
      <c r="R11" s="16">
        <v>3</v>
      </c>
      <c r="S11" s="2">
        <f t="shared" si="14"/>
        <v>-1</v>
      </c>
      <c r="T11" s="13">
        <f t="shared" si="15"/>
        <v>-8</v>
      </c>
      <c r="U11" s="16">
        <v>3</v>
      </c>
      <c r="V11" s="2">
        <f t="shared" si="16"/>
        <v>-1</v>
      </c>
      <c r="W11" s="13">
        <f t="shared" si="17"/>
        <v>-9</v>
      </c>
      <c r="X11" s="16">
        <v>4</v>
      </c>
      <c r="Y11" s="2">
        <f t="shared" si="18"/>
        <v>0</v>
      </c>
      <c r="Z11" s="13">
        <f t="shared" si="19"/>
        <v>-9</v>
      </c>
      <c r="AA11" s="16">
        <v>3</v>
      </c>
      <c r="AB11" s="2">
        <f t="shared" si="20"/>
        <v>-1</v>
      </c>
      <c r="AC11" s="13">
        <f t="shared" si="21"/>
        <v>-10</v>
      </c>
      <c r="AD11" s="16">
        <v>2</v>
      </c>
      <c r="AE11" s="2">
        <f t="shared" si="0"/>
        <v>-2</v>
      </c>
      <c r="AF11" s="13">
        <f t="shared" si="1"/>
        <v>-12</v>
      </c>
      <c r="AG11" s="16">
        <v>4</v>
      </c>
      <c r="AH11" s="2">
        <f t="shared" si="2"/>
        <v>0</v>
      </c>
      <c r="AI11" s="13">
        <f t="shared" si="3"/>
        <v>-12</v>
      </c>
      <c r="AJ11" s="16">
        <v>3</v>
      </c>
      <c r="AK11" s="2">
        <f t="shared" si="22"/>
        <v>-1</v>
      </c>
      <c r="AL11" s="13">
        <f t="shared" si="23"/>
        <v>-13</v>
      </c>
      <c r="AM11" s="16">
        <v>3</v>
      </c>
      <c r="AN11" s="2">
        <f t="shared" si="24"/>
        <v>-1</v>
      </c>
      <c r="AO11" s="13">
        <f t="shared" si="25"/>
        <v>-14</v>
      </c>
      <c r="AP11" s="16">
        <v>3</v>
      </c>
      <c r="AQ11" s="2">
        <f t="shared" si="26"/>
        <v>-1</v>
      </c>
      <c r="AR11" s="13">
        <f t="shared" si="27"/>
        <v>-15</v>
      </c>
      <c r="AS11" s="16">
        <v>3</v>
      </c>
      <c r="AT11" s="2">
        <f t="shared" si="28"/>
        <v>-1</v>
      </c>
      <c r="AU11" s="13">
        <f>IF(AS11&lt;&gt;"",AR11+AT11,"")</f>
        <v>-16</v>
      </c>
      <c r="AV11" s="16">
        <v>3</v>
      </c>
      <c r="AW11" s="2">
        <f t="shared" si="29"/>
        <v>-1</v>
      </c>
      <c r="AX11" s="13">
        <f t="shared" si="30"/>
        <v>-17</v>
      </c>
      <c r="AY11" s="16">
        <v>2</v>
      </c>
      <c r="AZ11" s="2">
        <f t="shared" si="31"/>
        <v>-2</v>
      </c>
      <c r="BA11" s="13">
        <f t="shared" si="32"/>
        <v>-19</v>
      </c>
      <c r="BB11" s="16">
        <v>3</v>
      </c>
      <c r="BC11" s="2">
        <f t="shared" si="33"/>
        <v>-1</v>
      </c>
      <c r="BD11" s="13">
        <f t="shared" si="34"/>
        <v>-20</v>
      </c>
      <c r="BF11" t="s">
        <v>21</v>
      </c>
      <c r="BG11" t="s">
        <v>31</v>
      </c>
      <c r="BH11" s="42">
        <v>-20</v>
      </c>
      <c r="BI11">
        <v>8</v>
      </c>
      <c r="BJ11" t="s">
        <v>21</v>
      </c>
      <c r="BK11" t="s">
        <v>22</v>
      </c>
      <c r="BL11" s="42">
        <v>14.000399999999999</v>
      </c>
      <c r="BR11" s="40"/>
    </row>
    <row r="12" spans="1:70" x14ac:dyDescent="0.25">
      <c r="A12" t="s">
        <v>23</v>
      </c>
      <c r="B12" t="s">
        <v>24</v>
      </c>
      <c r="C12" s="16">
        <v>4</v>
      </c>
      <c r="D12" s="2">
        <f t="shared" si="4"/>
        <v>0</v>
      </c>
      <c r="E12" s="13">
        <f t="shared" si="5"/>
        <v>0</v>
      </c>
      <c r="F12" s="16">
        <v>4</v>
      </c>
      <c r="G12" s="2">
        <f t="shared" si="6"/>
        <v>0</v>
      </c>
      <c r="H12" s="13">
        <f t="shared" si="7"/>
        <v>0</v>
      </c>
      <c r="I12" s="16">
        <v>5</v>
      </c>
      <c r="J12" s="2">
        <f t="shared" si="8"/>
        <v>1</v>
      </c>
      <c r="K12" s="13">
        <f t="shared" si="9"/>
        <v>1</v>
      </c>
      <c r="L12" s="6">
        <v>7.0000999999999998</v>
      </c>
      <c r="M12" s="2">
        <f t="shared" si="10"/>
        <v>3.0000999999999998</v>
      </c>
      <c r="N12" s="13">
        <f t="shared" si="11"/>
        <v>4.0000999999999998</v>
      </c>
      <c r="O12" s="16">
        <v>3</v>
      </c>
      <c r="P12" s="2">
        <f t="shared" si="12"/>
        <v>-1</v>
      </c>
      <c r="Q12" s="13">
        <f t="shared" si="13"/>
        <v>3.0000999999999998</v>
      </c>
      <c r="R12" s="16">
        <v>4</v>
      </c>
      <c r="S12" s="2">
        <f t="shared" si="14"/>
        <v>0</v>
      </c>
      <c r="T12" s="13">
        <f t="shared" si="15"/>
        <v>3.0000999999999998</v>
      </c>
      <c r="U12" s="16">
        <v>4</v>
      </c>
      <c r="V12" s="2">
        <f t="shared" si="16"/>
        <v>0</v>
      </c>
      <c r="W12" s="13">
        <f t="shared" si="17"/>
        <v>3.0000999999999998</v>
      </c>
      <c r="X12" s="16">
        <v>6</v>
      </c>
      <c r="Y12" s="2">
        <f t="shared" si="18"/>
        <v>2</v>
      </c>
      <c r="Z12" s="13">
        <f t="shared" si="19"/>
        <v>5.0000999999999998</v>
      </c>
      <c r="AA12" s="16">
        <v>4</v>
      </c>
      <c r="AB12" s="2">
        <f t="shared" si="20"/>
        <v>0</v>
      </c>
      <c r="AC12" s="13">
        <f t="shared" si="21"/>
        <v>5.0000999999999998</v>
      </c>
      <c r="AD12" s="16">
        <v>3</v>
      </c>
      <c r="AE12" s="2">
        <f t="shared" si="0"/>
        <v>-1</v>
      </c>
      <c r="AF12" s="13">
        <f t="shared" si="1"/>
        <v>4.0000999999999998</v>
      </c>
      <c r="AG12" s="16">
        <v>4</v>
      </c>
      <c r="AH12" s="2">
        <f t="shared" si="2"/>
        <v>0</v>
      </c>
      <c r="AI12" s="13">
        <f t="shared" si="3"/>
        <v>4.0000999999999998</v>
      </c>
      <c r="AJ12" s="16">
        <v>5</v>
      </c>
      <c r="AK12" s="2">
        <f t="shared" si="22"/>
        <v>1</v>
      </c>
      <c r="AL12" s="13">
        <f t="shared" si="23"/>
        <v>5.0000999999999998</v>
      </c>
      <c r="AM12" s="16">
        <v>3</v>
      </c>
      <c r="AN12" s="2">
        <f t="shared" si="24"/>
        <v>-1</v>
      </c>
      <c r="AO12" s="13">
        <f t="shared" si="25"/>
        <v>4.0000999999999998</v>
      </c>
      <c r="AP12" s="16">
        <v>4</v>
      </c>
      <c r="AQ12" s="2">
        <f t="shared" si="26"/>
        <v>0</v>
      </c>
      <c r="AR12" s="13">
        <f>IF(AP12&lt;&gt;"",AO12+AQ12,"")</f>
        <v>4.0000999999999998</v>
      </c>
      <c r="AS12" s="16">
        <v>3</v>
      </c>
      <c r="AT12" s="2">
        <f>IF(AS12&lt;&gt;"",AS12-$B$1,"")</f>
        <v>-1</v>
      </c>
      <c r="AU12" s="13">
        <f>IF(AS12&lt;&gt;"",AR12+AT12,"")</f>
        <v>3.0000999999999998</v>
      </c>
      <c r="AV12" s="16">
        <v>4</v>
      </c>
      <c r="AW12" s="2">
        <f t="shared" si="29"/>
        <v>0</v>
      </c>
      <c r="AX12" s="13">
        <f t="shared" si="30"/>
        <v>3.0000999999999998</v>
      </c>
      <c r="AY12" s="16">
        <v>4</v>
      </c>
      <c r="AZ12" s="2">
        <f t="shared" si="31"/>
        <v>0</v>
      </c>
      <c r="BA12" s="13">
        <f t="shared" si="32"/>
        <v>3.0000999999999998</v>
      </c>
      <c r="BB12" s="16">
        <v>4</v>
      </c>
      <c r="BC12" s="2">
        <f t="shared" si="33"/>
        <v>0</v>
      </c>
      <c r="BD12" s="13">
        <f t="shared" si="34"/>
        <v>3.0000999999999998</v>
      </c>
      <c r="BF12" t="s">
        <v>23</v>
      </c>
      <c r="BG12" t="s">
        <v>24</v>
      </c>
      <c r="BH12" s="42">
        <v>3.0000999999999998</v>
      </c>
      <c r="BI12">
        <v>9</v>
      </c>
      <c r="BJ12" t="s">
        <v>17</v>
      </c>
      <c r="BK12" t="s">
        <v>18</v>
      </c>
      <c r="BL12" s="42">
        <v>29.000999999999998</v>
      </c>
      <c r="BR12" s="40"/>
    </row>
    <row r="13" spans="1:70" x14ac:dyDescent="0.25">
      <c r="C13" s="31"/>
      <c r="E13" s="13"/>
      <c r="F13" s="32"/>
      <c r="H13" s="13"/>
      <c r="I13" s="32"/>
      <c r="K13" s="13"/>
      <c r="L13" s="32"/>
      <c r="N13" s="13"/>
      <c r="O13" s="32"/>
      <c r="Q13" s="13"/>
      <c r="R13" s="32"/>
      <c r="T13" s="13"/>
      <c r="U13" s="32"/>
      <c r="W13" s="13"/>
      <c r="X13" s="32"/>
      <c r="Z13" s="13"/>
      <c r="AA13" s="32"/>
      <c r="AC13" s="13"/>
      <c r="AD13" s="32"/>
      <c r="AF13" s="13"/>
      <c r="AG13" s="32"/>
      <c r="AI13" s="13"/>
      <c r="AJ13" s="32"/>
      <c r="AL13" s="13"/>
      <c r="AM13" s="32"/>
      <c r="AO13" s="13"/>
      <c r="AP13" s="32"/>
      <c r="AR13" s="13"/>
      <c r="AS13" s="32"/>
      <c r="AU13" s="13"/>
      <c r="AV13" s="32"/>
      <c r="AX13" s="13"/>
      <c r="AY13" s="32"/>
      <c r="BA13" s="13"/>
      <c r="BB13" s="32"/>
      <c r="BD13" s="13"/>
      <c r="BJ13" s="37"/>
      <c r="BK13" s="37"/>
      <c r="BL13" s="37"/>
      <c r="BR13" s="1"/>
    </row>
    <row r="14" spans="1:70" x14ac:dyDescent="0.25">
      <c r="C14" s="33"/>
      <c r="D14" s="34"/>
      <c r="E14" s="15"/>
      <c r="F14" s="35"/>
      <c r="G14" s="34"/>
      <c r="H14" s="15"/>
      <c r="I14" s="35"/>
      <c r="J14" s="34"/>
      <c r="K14" s="15"/>
      <c r="L14" s="35"/>
      <c r="M14" s="34"/>
      <c r="N14" s="15"/>
      <c r="O14" s="35"/>
      <c r="P14" s="34"/>
      <c r="Q14" s="15"/>
      <c r="R14" s="35"/>
      <c r="S14" s="34"/>
      <c r="T14" s="15"/>
      <c r="U14" s="35"/>
      <c r="V14" s="34"/>
      <c r="W14" s="15"/>
      <c r="X14" s="35"/>
      <c r="Y14" s="34"/>
      <c r="Z14" s="15"/>
      <c r="AA14" s="35"/>
      <c r="AB14" s="34"/>
      <c r="AC14" s="15"/>
      <c r="AD14" s="35"/>
      <c r="AE14" s="34"/>
      <c r="AF14" s="15"/>
      <c r="AG14" s="35"/>
      <c r="AH14" s="34"/>
      <c r="AI14" s="15"/>
      <c r="AJ14" s="35"/>
      <c r="AK14" s="34"/>
      <c r="AL14" s="15"/>
      <c r="AM14" s="35"/>
      <c r="AN14" s="34"/>
      <c r="AO14" s="15"/>
      <c r="AP14" s="35"/>
      <c r="AQ14" s="34"/>
      <c r="AR14" s="15"/>
      <c r="AS14" s="35"/>
      <c r="AT14" s="34"/>
      <c r="AU14" s="15"/>
      <c r="AV14" s="35"/>
      <c r="AW14" s="34"/>
      <c r="AX14" s="15"/>
      <c r="AY14" s="35"/>
      <c r="AZ14" s="34"/>
      <c r="BA14" s="15"/>
      <c r="BB14" s="35"/>
      <c r="BC14" s="34"/>
      <c r="BD14" s="15"/>
      <c r="BR14" s="1"/>
    </row>
    <row r="15" spans="1:70" x14ac:dyDescent="0.25">
      <c r="BR15" s="1"/>
    </row>
    <row r="16" spans="1:70" x14ac:dyDescent="0.25">
      <c r="B16" t="s">
        <v>25</v>
      </c>
      <c r="C16" s="3">
        <f>IF(COUNT(C4:C14)&gt;0,AVERAGE(C4:C14),"")</f>
        <v>4.4444555555555558</v>
      </c>
      <c r="D16" s="3"/>
      <c r="E16" s="3"/>
      <c r="F16" s="3">
        <f>IF(COUNT(F4:F14)&gt;0,AVERAGE(F4:F14),"")</f>
        <v>4.2222444444444447</v>
      </c>
      <c r="G16" s="3"/>
      <c r="H16" s="3"/>
      <c r="I16" s="3">
        <f>IF(COUNT(I4:I14)&gt;0,AVERAGE(I4:I14),"")</f>
        <v>4.1111222222222228</v>
      </c>
      <c r="J16" s="3"/>
      <c r="K16" s="3"/>
      <c r="L16" s="3">
        <f>IF(COUNT(L4:L14)&gt;0,AVERAGE(L4:L14),"")</f>
        <v>4.7778111111111103</v>
      </c>
      <c r="M16" s="3"/>
      <c r="N16" s="3"/>
      <c r="O16" s="3">
        <f>IF(COUNT(O4:O14)&gt;0,AVERAGE(O4:O14),"")</f>
        <v>3.555566666666667</v>
      </c>
      <c r="P16" s="3"/>
      <c r="Q16" s="3"/>
      <c r="R16" s="3">
        <f>IF(COUNT(R4:R14)&gt;0,AVERAGE(R4:R14),"")</f>
        <v>4.7777888888888889</v>
      </c>
      <c r="S16" s="3"/>
      <c r="T16" s="3"/>
      <c r="U16" s="3">
        <f>IF(COUNT(U4:U14)&gt;0,AVERAGE(U4:U14),"")</f>
        <v>3.5555555555555554</v>
      </c>
      <c r="V16" s="3"/>
      <c r="W16" s="3"/>
      <c r="X16" s="3">
        <f>IF(COUNT(X4:X14)&gt;0,AVERAGE(X4:X14),"")</f>
        <v>5.3333444444444451</v>
      </c>
      <c r="Y16" s="3"/>
      <c r="Z16" s="3"/>
      <c r="AA16" s="3">
        <f>IF(COUNT(AA4:AA14)&gt;0,AVERAGE(AA4:AA14),"")</f>
        <v>4.0000111111111112</v>
      </c>
      <c r="AB16" s="3"/>
      <c r="AC16" s="3"/>
      <c r="AD16" s="3">
        <f>IF(COUNT(AD4:AD14)&gt;0,AVERAGE(AD4:AD14),"")</f>
        <v>3.8889000000000005</v>
      </c>
      <c r="AE16" s="3"/>
      <c r="AF16" s="3"/>
      <c r="AG16" s="3">
        <f>IF(COUNT(AG4:AG14)&gt;0,AVERAGE(AG4:AG14),"")</f>
        <v>4.333333333333333</v>
      </c>
      <c r="AH16" s="3"/>
      <c r="AI16" s="3"/>
      <c r="AJ16" s="3">
        <f>IF(COUNT(AJ4:AJ14)&gt;0,AVERAGE(AJ4:AJ14),"")</f>
        <v>4.5555666666666674</v>
      </c>
      <c r="AK16" s="3"/>
      <c r="AL16" s="3"/>
      <c r="AM16" s="3">
        <f>IF(COUNT(AM4:AM14)&gt;0,AVERAGE(AM4:AM14),"")</f>
        <v>3.7777888888888893</v>
      </c>
      <c r="AN16" s="18"/>
      <c r="AO16" s="18"/>
      <c r="AP16" s="3">
        <f>IF(COUNT(AP4:AP14)&gt;0,AVERAGE(AP4:AP14),"")</f>
        <v>3.3333333333333335</v>
      </c>
      <c r="AQ16" s="18"/>
      <c r="AR16" s="18"/>
      <c r="AS16" s="3">
        <f>IF(COUNT(AS4:AS14)&gt;0,AVERAGE(AS4:AS14),"")</f>
        <v>4.0000222222222224</v>
      </c>
      <c r="AT16" s="18"/>
      <c r="AU16" s="18"/>
      <c r="AV16" s="3">
        <f>IF(COUNT(AV4:AV14)&gt;0,AVERAGE(AV4:AV14),"")</f>
        <v>4.1111222222222228</v>
      </c>
      <c r="AW16" s="18"/>
      <c r="AX16" s="18"/>
      <c r="AY16" s="3">
        <f>IF(COUNT(AY4:AY14)&gt;0,AVERAGE(AY4:AY14),"")</f>
        <v>3.2222222222222223</v>
      </c>
      <c r="AZ16" s="18"/>
      <c r="BA16" s="18"/>
      <c r="BB16" s="3">
        <f>IF(COUNT(BB4:BB14)&gt;0,AVERAGE(BB4:BB14),"")</f>
        <v>4.5555777777777777</v>
      </c>
      <c r="BC16" s="18"/>
      <c r="BD16" s="18"/>
    </row>
    <row r="18" spans="3:56" x14ac:dyDescent="0.25">
      <c r="C18" s="6">
        <v>7.0000999999999998</v>
      </c>
      <c r="D18" s="7" t="s">
        <v>26</v>
      </c>
    </row>
    <row r="19" spans="3:56" x14ac:dyDescent="0.25">
      <c r="C19" s="8">
        <v>6.9999000000000002</v>
      </c>
      <c r="D19" s="7" t="s">
        <v>27</v>
      </c>
      <c r="AA19" s="6">
        <v>7.0000999999999998</v>
      </c>
      <c r="AB19" s="7" t="s">
        <v>26</v>
      </c>
    </row>
    <row r="20" spans="3:56" x14ac:dyDescent="0.25">
      <c r="C20" s="2"/>
      <c r="D20" s="7"/>
      <c r="F20" s="2"/>
      <c r="AA20" s="8">
        <v>6.9999000000000002</v>
      </c>
      <c r="AB20" s="7" t="s">
        <v>27</v>
      </c>
    </row>
    <row r="21" spans="3:56" x14ac:dyDescent="0.25">
      <c r="D21" s="10"/>
      <c r="E21" s="10"/>
      <c r="G21" s="10"/>
      <c r="H21" s="10"/>
      <c r="J21" s="10"/>
      <c r="K21" s="10"/>
      <c r="M21" s="10"/>
      <c r="N21" s="10"/>
      <c r="P21" s="10"/>
      <c r="Q21" s="10"/>
      <c r="S21" s="10"/>
      <c r="T21" s="10"/>
      <c r="V21" s="10"/>
      <c r="W21" s="10"/>
      <c r="Y21" s="10"/>
      <c r="Z21" s="10"/>
      <c r="AB21" s="10"/>
      <c r="AC21" s="10"/>
      <c r="AE21" s="10"/>
      <c r="AF21" s="10"/>
      <c r="AH21" s="10"/>
      <c r="AI21" s="10"/>
      <c r="AK21" s="10"/>
      <c r="AL21" s="10"/>
      <c r="AO21" s="10"/>
      <c r="AQ21" s="10"/>
      <c r="AR21" s="10"/>
      <c r="AT21" s="10"/>
      <c r="AU21" s="10"/>
      <c r="AW21" s="10"/>
      <c r="AX21" s="10"/>
      <c r="AZ21" s="10"/>
      <c r="BA21" s="10"/>
      <c r="BC21" s="10"/>
      <c r="BD21" s="10"/>
    </row>
    <row r="23" spans="3:56" x14ac:dyDescent="0.25">
      <c r="D23" s="7"/>
      <c r="E23" s="7"/>
      <c r="G23" s="7"/>
      <c r="H23" s="7"/>
      <c r="J23" s="7"/>
      <c r="K23" s="7"/>
      <c r="M23" s="7"/>
      <c r="N23" s="7"/>
      <c r="P23" s="7"/>
      <c r="Q23" s="7"/>
      <c r="S23" s="7"/>
      <c r="T23" s="7"/>
      <c r="V23" s="7"/>
      <c r="W23" s="7"/>
      <c r="Y23" s="7"/>
      <c r="Z23" s="7"/>
      <c r="AB23" s="7"/>
      <c r="AC23" s="7"/>
      <c r="AE23" s="7"/>
      <c r="AF23" s="7"/>
      <c r="AH23" s="7"/>
      <c r="AI23" s="7"/>
      <c r="AK23" s="7"/>
      <c r="AL23" s="7"/>
      <c r="AO23" s="7"/>
      <c r="AQ23" s="7"/>
      <c r="AR23" s="7"/>
      <c r="AT23" s="7"/>
      <c r="AU23" s="7"/>
      <c r="AW23" s="7"/>
      <c r="AX23" s="7"/>
      <c r="AZ23" s="7"/>
      <c r="BA23" s="7"/>
      <c r="BC23" s="7"/>
      <c r="BD23" s="7"/>
    </row>
    <row r="24" spans="3:56" x14ac:dyDescent="0.2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3:56" x14ac:dyDescent="0.25">
      <c r="D25" s="7"/>
      <c r="G25" s="7"/>
      <c r="J25" s="7"/>
      <c r="M25" s="7"/>
      <c r="P25" s="7"/>
      <c r="S25" s="7"/>
      <c r="V25" s="7"/>
      <c r="Y25" s="7"/>
      <c r="AB25" s="7"/>
      <c r="AE25" s="7"/>
      <c r="AH25" s="7"/>
      <c r="AK25" s="7"/>
      <c r="AQ25" s="7"/>
      <c r="AT25" s="7"/>
      <c r="AW25" s="7"/>
      <c r="AZ25" s="7"/>
      <c r="BC25" s="7"/>
    </row>
    <row r="27" spans="3:56" x14ac:dyDescent="0.25">
      <c r="D27" s="4"/>
      <c r="E27" s="4"/>
      <c r="G27" s="4"/>
      <c r="H27" s="4"/>
      <c r="J27" s="4"/>
      <c r="K27" s="4"/>
      <c r="M27" s="4"/>
      <c r="N27" s="4"/>
      <c r="P27" s="4"/>
      <c r="Q27" s="4"/>
      <c r="S27" s="4"/>
      <c r="T27" s="4"/>
      <c r="V27" s="4"/>
      <c r="W27" s="4"/>
      <c r="Y27" s="4"/>
      <c r="Z27" s="4"/>
      <c r="AB27" s="4"/>
      <c r="AC27" s="4"/>
      <c r="AE27" s="4"/>
      <c r="AF27" s="4"/>
      <c r="AH27" s="4"/>
      <c r="AI27" s="4"/>
      <c r="AK27" s="4"/>
      <c r="AL27" s="4"/>
      <c r="AO27" s="4"/>
      <c r="AQ27" s="4"/>
      <c r="AR27" s="4"/>
      <c r="AT27" s="4"/>
      <c r="AU27" s="4"/>
      <c r="AW27" s="4"/>
      <c r="AX27" s="4"/>
      <c r="AZ27" s="4"/>
      <c r="BA27" s="4"/>
      <c r="BC27" s="4"/>
      <c r="BD27" s="4"/>
    </row>
    <row r="28" spans="3:56" x14ac:dyDescent="0.25">
      <c r="D28" s="5"/>
      <c r="E28" s="5"/>
      <c r="G28" s="5"/>
      <c r="H28" s="5"/>
      <c r="J28" s="5"/>
      <c r="K28" s="5"/>
      <c r="M28" s="5"/>
      <c r="N28" s="5"/>
      <c r="P28" s="5"/>
      <c r="Q28" s="5"/>
      <c r="S28" s="5"/>
      <c r="T28" s="5"/>
      <c r="V28" s="5"/>
      <c r="W28" s="5"/>
      <c r="Y28" s="5"/>
      <c r="Z28" s="5"/>
      <c r="AB28" s="5"/>
      <c r="AC28" s="5"/>
      <c r="AE28" s="5"/>
      <c r="AF28" s="5"/>
      <c r="AH28" s="5"/>
      <c r="AI28" s="5"/>
      <c r="AK28" s="5"/>
      <c r="AL28" s="5"/>
      <c r="AO28" s="5"/>
      <c r="AQ28" s="5"/>
      <c r="AR28" s="5"/>
      <c r="AT28" s="5"/>
      <c r="AU28" s="5"/>
      <c r="AW28" s="5"/>
      <c r="AX28" s="5"/>
      <c r="AZ28" s="5"/>
      <c r="BA28" s="5"/>
      <c r="BC28" s="5"/>
      <c r="BD28" s="5"/>
    </row>
    <row r="53" spans="4:56" x14ac:dyDescent="0.25">
      <c r="D53" s="11"/>
      <c r="E53" s="11"/>
      <c r="G53" s="11"/>
      <c r="H53" s="11"/>
      <c r="J53" s="11"/>
      <c r="K53" s="11"/>
      <c r="M53" s="11"/>
      <c r="N53" s="11"/>
      <c r="P53" s="11"/>
      <c r="Q53" s="11"/>
      <c r="S53" s="11"/>
      <c r="T53" s="11"/>
      <c r="V53" s="11"/>
      <c r="W53" s="11"/>
      <c r="Y53" s="11"/>
      <c r="Z53" s="11"/>
      <c r="AB53" s="11"/>
      <c r="AC53" s="11"/>
      <c r="AE53" s="11"/>
      <c r="AF53" s="11"/>
      <c r="AH53" s="11"/>
      <c r="AI53" s="11"/>
      <c r="AK53" s="11"/>
      <c r="AL53" s="11"/>
      <c r="AN53" s="11"/>
      <c r="AO53" s="11"/>
      <c r="AQ53" s="11"/>
      <c r="AR53" s="11"/>
      <c r="AT53" s="11"/>
      <c r="AU53" s="11"/>
      <c r="AW53" s="11"/>
      <c r="AX53" s="11"/>
      <c r="AZ53" s="11"/>
      <c r="BA53" s="11"/>
      <c r="BC53" s="11"/>
      <c r="BD53" s="11"/>
    </row>
    <row r="54" spans="4:56" x14ac:dyDescent="0.25">
      <c r="D54" s="10"/>
      <c r="E54" s="10"/>
      <c r="G54" s="10"/>
      <c r="H54" s="10"/>
      <c r="J54" s="10"/>
      <c r="K54" s="10"/>
      <c r="M54" s="10"/>
      <c r="N54" s="10"/>
      <c r="P54" s="10"/>
      <c r="Q54" s="10"/>
      <c r="S54" s="10"/>
      <c r="T54" s="10"/>
      <c r="V54" s="10"/>
      <c r="W54" s="10"/>
      <c r="Y54" s="10"/>
      <c r="Z54" s="10"/>
      <c r="AB54" s="10"/>
      <c r="AC54" s="10"/>
      <c r="AE54" s="10"/>
      <c r="AF54" s="10"/>
      <c r="AH54" s="10"/>
      <c r="AI54" s="10"/>
      <c r="AK54" s="10"/>
      <c r="AL54" s="10"/>
      <c r="AN54" s="10"/>
      <c r="AO54" s="10"/>
      <c r="AQ54" s="10"/>
      <c r="AR54" s="10"/>
      <c r="AT54" s="10"/>
      <c r="AU54" s="10"/>
      <c r="AW54" s="10"/>
      <c r="AX54" s="10"/>
      <c r="AZ54" s="10"/>
      <c r="BA54" s="10"/>
      <c r="BC54" s="10"/>
      <c r="BD54" s="10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</sheetData>
  <sortState xmlns:xlrd2="http://schemas.microsoft.com/office/spreadsheetml/2017/richdata2" ref="BJ4:BL12">
    <sortCondition ref="BL4:BL12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545B-D073-4113-B8FA-80EB933EB901}">
  <sheetPr codeName="Sheet7"/>
  <dimension ref="A1:BR64"/>
  <sheetViews>
    <sheetView zoomScale="96" zoomScaleNormal="96" workbookViewId="0">
      <pane xSplit="2" ySplit="2" topLeftCell="AX3" activePane="bottomRight" state="frozen"/>
      <selection pane="topRight" activeCell="C1" sqref="C1"/>
      <selection pane="bottomLeft" activeCell="A3" sqref="A3"/>
      <selection pane="bottomRight" activeCell="BB11" sqref="BB11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44904</v>
      </c>
      <c r="D1" s="53"/>
      <c r="E1" s="54"/>
      <c r="F1" s="52">
        <f>C1+1</f>
        <v>44905</v>
      </c>
      <c r="G1" s="53"/>
      <c r="H1" s="54"/>
      <c r="I1" s="52">
        <f>F1+1</f>
        <v>44906</v>
      </c>
      <c r="J1" s="53"/>
      <c r="K1" s="54"/>
      <c r="L1" s="52">
        <f>I1+1</f>
        <v>44907</v>
      </c>
      <c r="M1" s="53"/>
      <c r="N1" s="54"/>
      <c r="O1" s="52">
        <f>L1+1</f>
        <v>44908</v>
      </c>
      <c r="P1" s="53"/>
      <c r="Q1" s="54"/>
      <c r="R1" s="52">
        <f>O1+1</f>
        <v>44909</v>
      </c>
      <c r="S1" s="53"/>
      <c r="T1" s="54"/>
      <c r="U1" s="52">
        <f>R1+1</f>
        <v>44910</v>
      </c>
      <c r="V1" s="53"/>
      <c r="W1" s="54"/>
      <c r="X1" s="52">
        <f>U1+1</f>
        <v>44911</v>
      </c>
      <c r="Y1" s="53"/>
      <c r="Z1" s="54"/>
      <c r="AA1" s="52">
        <f>X1+1</f>
        <v>44912</v>
      </c>
      <c r="AB1" s="53"/>
      <c r="AC1" s="54"/>
      <c r="AD1" s="52">
        <f>AA1+1</f>
        <v>44913</v>
      </c>
      <c r="AE1" s="53"/>
      <c r="AF1" s="54"/>
      <c r="AG1" s="52">
        <f>AD1+1</f>
        <v>44914</v>
      </c>
      <c r="AH1" s="53"/>
      <c r="AI1" s="54"/>
      <c r="AJ1" s="52">
        <f>AG1+1</f>
        <v>44915</v>
      </c>
      <c r="AK1" s="53"/>
      <c r="AL1" s="54"/>
      <c r="AM1" s="52">
        <f>AJ1+1</f>
        <v>44916</v>
      </c>
      <c r="AN1" s="53"/>
      <c r="AO1" s="54"/>
      <c r="AP1" s="52">
        <f>AM1+1</f>
        <v>44917</v>
      </c>
      <c r="AQ1" s="53"/>
      <c r="AR1" s="54"/>
      <c r="AS1" s="52">
        <f>AP1+1</f>
        <v>44918</v>
      </c>
      <c r="AT1" s="53"/>
      <c r="AU1" s="54"/>
      <c r="AV1" s="52">
        <f>AS1+1</f>
        <v>44919</v>
      </c>
      <c r="AW1" s="53"/>
      <c r="AX1" s="54"/>
      <c r="AY1" s="52">
        <f>AV1+1</f>
        <v>44920</v>
      </c>
      <c r="AZ1" s="53"/>
      <c r="BA1" s="54"/>
      <c r="BB1" s="52">
        <f>AY1+1</f>
        <v>44921</v>
      </c>
      <c r="BC1" s="53"/>
      <c r="BD1" s="54"/>
    </row>
    <row r="2" spans="1:70" x14ac:dyDescent="0.25">
      <c r="B2" s="9" t="s">
        <v>1</v>
      </c>
      <c r="C2" s="49">
        <v>538</v>
      </c>
      <c r="D2" s="50"/>
      <c r="E2" s="51"/>
      <c r="F2" s="49">
        <f>C2+1</f>
        <v>539</v>
      </c>
      <c r="G2" s="50"/>
      <c r="H2" s="51"/>
      <c r="I2" s="49">
        <f>F2+1</f>
        <v>540</v>
      </c>
      <c r="J2" s="50"/>
      <c r="K2" s="51"/>
      <c r="L2" s="49">
        <f>I2+1</f>
        <v>541</v>
      </c>
      <c r="M2" s="50"/>
      <c r="N2" s="51"/>
      <c r="O2" s="49">
        <f>L2+1</f>
        <v>542</v>
      </c>
      <c r="P2" s="50"/>
      <c r="Q2" s="51"/>
      <c r="R2" s="49">
        <f>O2+1</f>
        <v>543</v>
      </c>
      <c r="S2" s="50"/>
      <c r="T2" s="51"/>
      <c r="U2" s="49">
        <f>R2+1</f>
        <v>544</v>
      </c>
      <c r="V2" s="50"/>
      <c r="W2" s="51"/>
      <c r="X2" s="49">
        <f>U2+1</f>
        <v>545</v>
      </c>
      <c r="Y2" s="50"/>
      <c r="Z2" s="51"/>
      <c r="AA2" s="49">
        <f>X2+1</f>
        <v>546</v>
      </c>
      <c r="AB2" s="50"/>
      <c r="AC2" s="51"/>
      <c r="AD2" s="49">
        <f>AA2+1</f>
        <v>547</v>
      </c>
      <c r="AE2" s="50"/>
      <c r="AF2" s="51"/>
      <c r="AG2" s="49">
        <f>AD2+1</f>
        <v>548</v>
      </c>
      <c r="AH2" s="50"/>
      <c r="AI2" s="51"/>
      <c r="AJ2" s="49">
        <f>AG2+1</f>
        <v>549</v>
      </c>
      <c r="AK2" s="50"/>
      <c r="AL2" s="51"/>
      <c r="AM2" s="49">
        <f>AJ2+1</f>
        <v>550</v>
      </c>
      <c r="AN2" s="50"/>
      <c r="AO2" s="51"/>
      <c r="AP2" s="49">
        <f>AM2+1</f>
        <v>551</v>
      </c>
      <c r="AQ2" s="50"/>
      <c r="AR2" s="51"/>
      <c r="AS2" s="49">
        <f>AP2+1</f>
        <v>552</v>
      </c>
      <c r="AT2" s="50"/>
      <c r="AU2" s="51"/>
      <c r="AV2" s="49">
        <f>AS2+1</f>
        <v>553</v>
      </c>
      <c r="AW2" s="50"/>
      <c r="AX2" s="51"/>
      <c r="AY2" s="49">
        <f>AV2+1</f>
        <v>554</v>
      </c>
      <c r="AZ2" s="50"/>
      <c r="BA2" s="51"/>
      <c r="BB2" s="49">
        <f>AY2+1</f>
        <v>555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11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4</v>
      </c>
      <c r="G4" s="18">
        <f>IF(F4&lt;&gt;"",F4-$B$1,"")</f>
        <v>0</v>
      </c>
      <c r="H4" s="13">
        <f>IF(F4&lt;&gt;"",E4+G4,"")</f>
        <v>-1</v>
      </c>
      <c r="I4" s="39">
        <v>4</v>
      </c>
      <c r="J4" s="18">
        <f>IF(I4&lt;&gt;"",I4-$B$1,"")</f>
        <v>0</v>
      </c>
      <c r="K4" s="13">
        <f>IF(I4&lt;&gt;"",H4+J4,"")</f>
        <v>-1</v>
      </c>
      <c r="L4" s="39">
        <v>5</v>
      </c>
      <c r="M4" s="18">
        <f>IF(L4&lt;&gt;"",L4-$B$1,"")</f>
        <v>1</v>
      </c>
      <c r="N4" s="13">
        <f>IF(L4&lt;&gt;"",K4+M4,"")</f>
        <v>0</v>
      </c>
      <c r="O4" s="39">
        <v>4</v>
      </c>
      <c r="P4" s="18">
        <f>IF(O4&lt;&gt;"",O4-$B$1,"")</f>
        <v>0</v>
      </c>
      <c r="Q4" s="13">
        <f>IF(O4&lt;&gt;"",N4+P4,"")</f>
        <v>0</v>
      </c>
      <c r="R4" s="39">
        <v>5</v>
      </c>
      <c r="S4" s="18">
        <f>IF(R4&lt;&gt;"",R4-$B$1,"")</f>
        <v>1</v>
      </c>
      <c r="T4" s="13">
        <f>IF(R4&lt;&gt;"",Q4+S4,"")</f>
        <v>1</v>
      </c>
      <c r="U4" s="38">
        <v>4</v>
      </c>
      <c r="V4" s="18">
        <f>IF(U4&lt;&gt;"",U4-$B$1,"")</f>
        <v>0</v>
      </c>
      <c r="W4" s="13">
        <f>IF(U4&lt;&gt;"",T4+V4,"")</f>
        <v>1</v>
      </c>
      <c r="X4" s="38">
        <v>4</v>
      </c>
      <c r="Y4" s="18">
        <f>IF(X4&lt;&gt;"",X4-$B$1,"")</f>
        <v>0</v>
      </c>
      <c r="Z4" s="13">
        <f>IF(X4&lt;&gt;"",W4+Y4,"")</f>
        <v>1</v>
      </c>
      <c r="AA4" s="38">
        <v>4</v>
      </c>
      <c r="AB4" s="18">
        <f>IF(AA4&lt;&gt;"",AA4-$B$1,"")</f>
        <v>0</v>
      </c>
      <c r="AC4" s="13">
        <f>IF(AA4&lt;&gt;"",Z4+AB4,"")</f>
        <v>1</v>
      </c>
      <c r="AD4" s="38">
        <v>3</v>
      </c>
      <c r="AE4" s="18">
        <f>IF(AD4&lt;&gt;"",AD4-$B$1,"")</f>
        <v>-1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6">
        <v>7.0000999999999998</v>
      </c>
      <c r="AK4" s="18">
        <f>IF(AJ4&lt;&gt;"",AJ4-$B$1,"")</f>
        <v>3.0000999999999998</v>
      </c>
      <c r="AL4" s="13">
        <f>IF(AJ4&lt;&gt;"",AI4+AK4,"")</f>
        <v>4.0000999999999998</v>
      </c>
      <c r="AM4" s="38">
        <v>3</v>
      </c>
      <c r="AN4" s="18">
        <f>IF(AM4&lt;&gt;"",AM4-$B$1,"")</f>
        <v>-1</v>
      </c>
      <c r="AO4" s="13">
        <f>IF(AM4&lt;&gt;"",AL4+AN4,"")</f>
        <v>3.0000999999999998</v>
      </c>
      <c r="AP4" s="38">
        <v>4</v>
      </c>
      <c r="AQ4" s="18">
        <f>IF(AP4&lt;&gt;"",AP4-$B$1,"")</f>
        <v>0</v>
      </c>
      <c r="AR4" s="13">
        <f>IF(AP4&lt;&gt;"",AO4+AQ4,"")</f>
        <v>3.0000999999999998</v>
      </c>
      <c r="AS4" s="38">
        <v>4</v>
      </c>
      <c r="AT4" s="18">
        <f>IF(AS4&lt;&gt;"",AS4-$B$1,"")</f>
        <v>0</v>
      </c>
      <c r="AU4" s="13">
        <f>IF(AS4&lt;&gt;"",AR4+AT4,"")</f>
        <v>3.0000999999999998</v>
      </c>
      <c r="AV4" s="38">
        <v>4</v>
      </c>
      <c r="AW4" s="18">
        <f>IF(AV4&lt;&gt;"",AV4-$B$1,"")</f>
        <v>0</v>
      </c>
      <c r="AX4" s="13">
        <f>IF(AV4&lt;&gt;"",AU4+AW4,"")</f>
        <v>3.0000999999999998</v>
      </c>
      <c r="AY4" s="38">
        <v>4</v>
      </c>
      <c r="AZ4" s="18">
        <f>IF(AY4&lt;&gt;"",AY4-$B$1,"")</f>
        <v>0</v>
      </c>
      <c r="BA4" s="13">
        <f>IF(AY4&lt;&gt;"",AX4+AZ4,"")</f>
        <v>3.0000999999999998</v>
      </c>
      <c r="BB4" s="38">
        <v>4</v>
      </c>
      <c r="BC4" s="18">
        <f>IF(BB4&lt;&gt;"",BB4-$B$1,"")</f>
        <v>0</v>
      </c>
      <c r="BD4" s="13">
        <f>IF(BB4&lt;&gt;"",BA4+BC4,"")</f>
        <v>3.0000999999999998</v>
      </c>
      <c r="BF4" t="s">
        <v>9</v>
      </c>
      <c r="BG4" t="s">
        <v>10</v>
      </c>
      <c r="BH4" s="42">
        <v>0</v>
      </c>
      <c r="BI4">
        <v>1</v>
      </c>
      <c r="BJ4" s="37" t="s">
        <v>29</v>
      </c>
      <c r="BK4" s="37" t="s">
        <v>30</v>
      </c>
      <c r="BL4" s="43">
        <v>-12</v>
      </c>
      <c r="BO4" t="s">
        <v>9</v>
      </c>
      <c r="BP4" t="s">
        <v>10</v>
      </c>
      <c r="BQ4">
        <v>4</v>
      </c>
      <c r="BR4" s="40">
        <f>BH4-BQ4</f>
        <v>-4</v>
      </c>
    </row>
    <row r="5" spans="1:70" x14ac:dyDescent="0.25">
      <c r="A5" t="s">
        <v>11</v>
      </c>
      <c r="B5" t="s">
        <v>12</v>
      </c>
      <c r="C5" s="16">
        <v>3</v>
      </c>
      <c r="D5" s="2">
        <f t="shared" ref="D5:D13" si="0">IF(C5&lt;&gt;"",C5-$B$1,"")</f>
        <v>-1</v>
      </c>
      <c r="E5" s="13">
        <f t="shared" ref="E5:E13" si="1">D5</f>
        <v>-1</v>
      </c>
      <c r="F5" s="17">
        <v>4</v>
      </c>
      <c r="G5" s="2">
        <f t="shared" ref="G5:G13" si="2">IF(F5&lt;&gt;"",F5-$B$1,"")</f>
        <v>0</v>
      </c>
      <c r="H5" s="13">
        <f t="shared" ref="H5:H13" si="3">IF(F5&lt;&gt;"",E5+G5,"")</f>
        <v>-1</v>
      </c>
      <c r="I5" s="17">
        <v>1</v>
      </c>
      <c r="J5" s="2">
        <f t="shared" ref="J5:J13" si="4">IF(I5&lt;&gt;"",I5-$B$1,"")</f>
        <v>-3</v>
      </c>
      <c r="K5" s="13">
        <f t="shared" ref="K5:K13" si="5">IF(I5&lt;&gt;"",H5+J5,"")</f>
        <v>-4</v>
      </c>
      <c r="L5" s="17">
        <v>3</v>
      </c>
      <c r="M5" s="2">
        <f t="shared" ref="M5:M13" si="6">IF(L5&lt;&gt;"",L5-$B$1,"")</f>
        <v>-1</v>
      </c>
      <c r="N5" s="13">
        <f t="shared" ref="N5:N13" si="7">IF(L5&lt;&gt;"",K5+M5,"")</f>
        <v>-5</v>
      </c>
      <c r="O5" s="16">
        <v>3</v>
      </c>
      <c r="P5" s="2">
        <f t="shared" ref="P5:P13" si="8">IF(O5&lt;&gt;"",O5-$B$1,"")</f>
        <v>-1</v>
      </c>
      <c r="Q5" s="13">
        <f t="shared" ref="Q5:Q13" si="9">IF(O5&lt;&gt;"",N5+P5,"")</f>
        <v>-6</v>
      </c>
      <c r="R5" s="17">
        <v>3</v>
      </c>
      <c r="S5" s="2">
        <f t="shared" ref="S5:S13" si="10">IF(R5&lt;&gt;"",R5-$B$1,"")</f>
        <v>-1</v>
      </c>
      <c r="T5" s="13">
        <f t="shared" ref="T5:T13" si="11">IF(R5&lt;&gt;"",Q5+S5,"")</f>
        <v>-7</v>
      </c>
      <c r="U5" s="16">
        <v>4</v>
      </c>
      <c r="V5" s="2">
        <f t="shared" ref="V5:V13" si="12">IF(U5&lt;&gt;"",U5-$B$1,"")</f>
        <v>0</v>
      </c>
      <c r="W5" s="13">
        <f t="shared" ref="W5:W13" si="13">IF(U5&lt;&gt;"",T5+V5,"")</f>
        <v>-7</v>
      </c>
      <c r="X5" s="16">
        <v>4</v>
      </c>
      <c r="Y5" s="2">
        <f t="shared" ref="Y5:Y13" si="14">IF(X5&lt;&gt;"",X5-$B$1,"")</f>
        <v>0</v>
      </c>
      <c r="Z5" s="13">
        <f t="shared" ref="Z5:Z13" si="15">IF(X5&lt;&gt;"",W5+Y5,"")</f>
        <v>-7</v>
      </c>
      <c r="AA5" s="16">
        <v>3</v>
      </c>
      <c r="AB5" s="2">
        <f t="shared" ref="AB5:AB13" si="16">IF(AA5&lt;&gt;"",AA5-$B$1,"")</f>
        <v>-1</v>
      </c>
      <c r="AC5" s="13">
        <f t="shared" ref="AC5:AC13" si="17">IF(AA5&lt;&gt;"",Z5+AB5,"")</f>
        <v>-8</v>
      </c>
      <c r="AD5" s="16">
        <v>6</v>
      </c>
      <c r="AE5" s="2">
        <f t="shared" ref="AE5:AE13" si="18">IF(AD5&lt;&gt;"",AD5-$B$1,"")</f>
        <v>2</v>
      </c>
      <c r="AF5" s="13">
        <f t="shared" ref="AF5:AF12" si="19">IF(AD5&lt;&gt;"",AC5+AE5,"")</f>
        <v>-6</v>
      </c>
      <c r="AG5" s="16">
        <v>4</v>
      </c>
      <c r="AH5" s="2">
        <f t="shared" ref="AH5:AH13" si="20">IF(AG5&lt;&gt;"",AG5-$B$1,"")</f>
        <v>0</v>
      </c>
      <c r="AI5" s="13">
        <f t="shared" ref="AI5:AI13" si="21">IF(AG5&lt;&gt;"",AF5+AH5,"")</f>
        <v>-6</v>
      </c>
      <c r="AJ5" s="16">
        <v>3</v>
      </c>
      <c r="AK5" s="2">
        <f t="shared" ref="AK5:AK13" si="22">IF(AJ5&lt;&gt;"",AJ5-$B$1,"")</f>
        <v>-1</v>
      </c>
      <c r="AL5" s="13">
        <f t="shared" ref="AL5:AL13" si="23">IF(AJ5&lt;&gt;"",AI5+AK5,"")</f>
        <v>-7</v>
      </c>
      <c r="AM5" s="16">
        <v>4</v>
      </c>
      <c r="AN5" s="2">
        <f t="shared" ref="AN5:AN13" si="24">IF(AM5&lt;&gt;"",AM5-$B$1,"")</f>
        <v>0</v>
      </c>
      <c r="AO5" s="13">
        <f t="shared" ref="AO5:AO13" si="25">IF(AM5&lt;&gt;"",AL5+AN5,"")</f>
        <v>-7</v>
      </c>
      <c r="AP5" s="16">
        <v>4</v>
      </c>
      <c r="AQ5" s="2">
        <f t="shared" ref="AQ5:AQ13" si="26">IF(AP5&lt;&gt;"",AP5-$B$1,"")</f>
        <v>0</v>
      </c>
      <c r="AR5" s="13">
        <f t="shared" ref="AR5:AR12" si="27">IF(AP5&lt;&gt;"",AO5+AQ5,"")</f>
        <v>-7</v>
      </c>
      <c r="AS5" s="16">
        <v>5</v>
      </c>
      <c r="AT5" s="2">
        <f t="shared" ref="AT5:AT12" si="28">IF(AS5&lt;&gt;"",AS5-$B$1,"")</f>
        <v>1</v>
      </c>
      <c r="AU5" s="13">
        <f>IF(AS5&lt;&gt;"",AR5+AT5,"")</f>
        <v>-6</v>
      </c>
      <c r="AV5" s="16">
        <v>3</v>
      </c>
      <c r="AW5" s="2">
        <f t="shared" ref="AW5:AW13" si="29">IF(AV5&lt;&gt;"",AV5-$B$1,"")</f>
        <v>-1</v>
      </c>
      <c r="AX5" s="13">
        <f t="shared" ref="AX5:AX13" si="30">IF(AV5&lt;&gt;"",AU5+AW5,"")</f>
        <v>-7</v>
      </c>
      <c r="AY5" s="16">
        <v>2</v>
      </c>
      <c r="AZ5" s="2">
        <f t="shared" ref="AZ5:AZ13" si="31">IF(AY5&lt;&gt;"",AY5-$B$1,"")</f>
        <v>-2</v>
      </c>
      <c r="BA5" s="13">
        <f t="shared" ref="BA5:BA13" si="32">IF(AY5&lt;&gt;"",AX5+AZ5,"")</f>
        <v>-9</v>
      </c>
      <c r="BB5" s="16">
        <v>3</v>
      </c>
      <c r="BC5" s="2">
        <f t="shared" ref="BC5:BC13" si="33">IF(BB5&lt;&gt;"",BB5-$B$1,"")</f>
        <v>-1</v>
      </c>
      <c r="BD5" s="13">
        <f t="shared" ref="BD5:BD13" si="34">IF(BB5&lt;&gt;"",BA5+BC5,"")</f>
        <v>-10</v>
      </c>
      <c r="BF5" t="s">
        <v>11</v>
      </c>
      <c r="BG5" t="s">
        <v>12</v>
      </c>
      <c r="BH5" s="42">
        <v>-6</v>
      </c>
      <c r="BI5">
        <v>2</v>
      </c>
      <c r="BJ5" s="37" t="s">
        <v>21</v>
      </c>
      <c r="BK5" s="37" t="s">
        <v>31</v>
      </c>
      <c r="BL5" s="43">
        <v>-11</v>
      </c>
      <c r="BO5" t="s">
        <v>11</v>
      </c>
      <c r="BP5" t="s">
        <v>12</v>
      </c>
      <c r="BQ5">
        <v>13</v>
      </c>
      <c r="BR5" s="40">
        <f t="shared" ref="BR5:BR13" si="35">BH5-BQ5</f>
        <v>-19</v>
      </c>
    </row>
    <row r="6" spans="1:70" x14ac:dyDescent="0.2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4</v>
      </c>
      <c r="J6" s="2">
        <f t="shared" si="4"/>
        <v>0</v>
      </c>
      <c r="K6" s="13">
        <f t="shared" si="5"/>
        <v>-1</v>
      </c>
      <c r="L6" s="17">
        <v>5</v>
      </c>
      <c r="M6" s="2">
        <f t="shared" si="6"/>
        <v>1</v>
      </c>
      <c r="N6" s="13">
        <f t="shared" si="7"/>
        <v>0</v>
      </c>
      <c r="O6" s="16">
        <v>3</v>
      </c>
      <c r="P6" s="2">
        <f t="shared" si="8"/>
        <v>-1</v>
      </c>
      <c r="Q6" s="13">
        <f t="shared" si="9"/>
        <v>-1</v>
      </c>
      <c r="R6" s="17">
        <v>3</v>
      </c>
      <c r="S6" s="2">
        <f t="shared" si="10"/>
        <v>-1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3</v>
      </c>
      <c r="Y6" s="2">
        <f t="shared" si="14"/>
        <v>-1</v>
      </c>
      <c r="Z6" s="13">
        <f t="shared" si="15"/>
        <v>-4</v>
      </c>
      <c r="AA6" s="16">
        <v>4</v>
      </c>
      <c r="AB6" s="2">
        <f t="shared" si="16"/>
        <v>0</v>
      </c>
      <c r="AC6" s="13">
        <f t="shared" si="17"/>
        <v>-4</v>
      </c>
      <c r="AD6" s="16">
        <v>3</v>
      </c>
      <c r="AE6" s="2">
        <f t="shared" si="18"/>
        <v>-1</v>
      </c>
      <c r="AF6" s="13">
        <f t="shared" si="19"/>
        <v>-5</v>
      </c>
      <c r="AG6" s="16">
        <v>4</v>
      </c>
      <c r="AH6" s="2">
        <f t="shared" si="20"/>
        <v>0</v>
      </c>
      <c r="AI6" s="13">
        <f t="shared" si="21"/>
        <v>-5</v>
      </c>
      <c r="AJ6" s="16">
        <v>4</v>
      </c>
      <c r="AK6" s="2">
        <f t="shared" si="22"/>
        <v>0</v>
      </c>
      <c r="AL6" s="13">
        <f t="shared" si="23"/>
        <v>-5</v>
      </c>
      <c r="AM6" s="16">
        <v>3</v>
      </c>
      <c r="AN6" s="2">
        <f t="shared" si="24"/>
        <v>-1</v>
      </c>
      <c r="AO6" s="13">
        <f t="shared" si="25"/>
        <v>-6</v>
      </c>
      <c r="AP6" s="16">
        <v>6</v>
      </c>
      <c r="AQ6" s="2">
        <f t="shared" si="26"/>
        <v>2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11" si="36">IF(AS6&lt;&gt;"",AR6+AT6,"")</f>
        <v>-5</v>
      </c>
      <c r="AV6" s="16">
        <v>4</v>
      </c>
      <c r="AW6" s="2">
        <f t="shared" si="29"/>
        <v>0</v>
      </c>
      <c r="AX6" s="13">
        <f t="shared" si="30"/>
        <v>-5</v>
      </c>
      <c r="AY6" s="16">
        <v>4</v>
      </c>
      <c r="AZ6" s="2">
        <f t="shared" si="31"/>
        <v>0</v>
      </c>
      <c r="BA6" s="13">
        <f t="shared" si="32"/>
        <v>-5</v>
      </c>
      <c r="BB6" s="16">
        <v>3</v>
      </c>
      <c r="BC6" s="2">
        <f t="shared" si="33"/>
        <v>-1</v>
      </c>
      <c r="BD6" s="13">
        <f t="shared" si="34"/>
        <v>-6</v>
      </c>
      <c r="BF6" t="s">
        <v>13</v>
      </c>
      <c r="BG6" t="s">
        <v>14</v>
      </c>
      <c r="BH6" s="42">
        <v>-5</v>
      </c>
      <c r="BI6">
        <v>3</v>
      </c>
      <c r="BJ6" s="37" t="s">
        <v>11</v>
      </c>
      <c r="BK6" s="37" t="s">
        <v>12</v>
      </c>
      <c r="BL6" s="43">
        <v>-6</v>
      </c>
      <c r="BO6" t="s">
        <v>13</v>
      </c>
      <c r="BP6" t="s">
        <v>14</v>
      </c>
      <c r="BQ6">
        <v>-5</v>
      </c>
      <c r="BR6" s="40">
        <f t="shared" si="35"/>
        <v>0</v>
      </c>
    </row>
    <row r="7" spans="1:70" x14ac:dyDescent="0.25">
      <c r="A7" t="s">
        <v>17</v>
      </c>
      <c r="B7" t="s">
        <v>18</v>
      </c>
      <c r="C7" s="16">
        <v>3</v>
      </c>
      <c r="D7" s="2">
        <f t="shared" si="0"/>
        <v>-1</v>
      </c>
      <c r="E7" s="13">
        <f t="shared" si="1"/>
        <v>-1</v>
      </c>
      <c r="F7" s="6">
        <v>7.0000999999999998</v>
      </c>
      <c r="G7" s="2">
        <f t="shared" si="2"/>
        <v>3.0000999999999998</v>
      </c>
      <c r="H7" s="13">
        <f t="shared" si="3"/>
        <v>2.0000999999999998</v>
      </c>
      <c r="I7" s="16">
        <v>4</v>
      </c>
      <c r="J7" s="2">
        <f t="shared" si="4"/>
        <v>0</v>
      </c>
      <c r="K7" s="13">
        <f t="shared" si="5"/>
        <v>2.0000999999999998</v>
      </c>
      <c r="L7" s="16">
        <v>5</v>
      </c>
      <c r="M7" s="2">
        <f t="shared" si="6"/>
        <v>1</v>
      </c>
      <c r="N7" s="13">
        <f t="shared" si="7"/>
        <v>3.0000999999999998</v>
      </c>
      <c r="O7" s="16">
        <v>3</v>
      </c>
      <c r="P7" s="2">
        <f t="shared" si="8"/>
        <v>-1</v>
      </c>
      <c r="Q7" s="13">
        <f t="shared" si="9"/>
        <v>2.0000999999999998</v>
      </c>
      <c r="R7" s="17">
        <v>5</v>
      </c>
      <c r="S7" s="2">
        <f t="shared" si="10"/>
        <v>1</v>
      </c>
      <c r="T7" s="13">
        <f t="shared" si="11"/>
        <v>3.0000999999999998</v>
      </c>
      <c r="U7" s="16">
        <v>4</v>
      </c>
      <c r="V7" s="2">
        <f t="shared" si="12"/>
        <v>0</v>
      </c>
      <c r="W7" s="13">
        <f t="shared" si="13"/>
        <v>3.0000999999999998</v>
      </c>
      <c r="X7" s="16">
        <v>4</v>
      </c>
      <c r="Y7" s="2">
        <f t="shared" si="14"/>
        <v>0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8">
        <v>6.9999000000000002</v>
      </c>
      <c r="AE7" s="2">
        <f>IF(AD7&lt;&gt;"",AD7-$B$1,"")</f>
        <v>2.9999000000000002</v>
      </c>
      <c r="AF7" s="13">
        <f>IF(AD7&lt;&gt;"",AC7+AE7,"")</f>
        <v>6</v>
      </c>
      <c r="AG7" s="6">
        <v>7.0000999999999998</v>
      </c>
      <c r="AH7" s="2">
        <f t="shared" si="20"/>
        <v>3.0000999999999998</v>
      </c>
      <c r="AI7" s="13">
        <f t="shared" si="21"/>
        <v>9.0000999999999998</v>
      </c>
      <c r="AJ7" s="16">
        <v>5</v>
      </c>
      <c r="AK7" s="2">
        <f t="shared" si="22"/>
        <v>1</v>
      </c>
      <c r="AL7" s="13">
        <f t="shared" si="23"/>
        <v>10.0001</v>
      </c>
      <c r="AM7" s="16">
        <v>4</v>
      </c>
      <c r="AN7" s="2">
        <f t="shared" si="24"/>
        <v>0</v>
      </c>
      <c r="AO7" s="13">
        <f t="shared" si="25"/>
        <v>10.0001</v>
      </c>
      <c r="AP7" s="6">
        <v>7.0000999999999998</v>
      </c>
      <c r="AQ7" s="2">
        <f t="shared" si="26"/>
        <v>3.0000999999999998</v>
      </c>
      <c r="AR7" s="13">
        <f t="shared" si="27"/>
        <v>13.0002</v>
      </c>
      <c r="AS7" s="16">
        <v>5</v>
      </c>
      <c r="AT7" s="2">
        <f t="shared" si="28"/>
        <v>1</v>
      </c>
      <c r="AU7" s="13">
        <f>IF(AS7&lt;&gt;"",AR7+AT7,"")</f>
        <v>14.0002</v>
      </c>
      <c r="AV7" s="16">
        <v>5</v>
      </c>
      <c r="AW7" s="2">
        <f t="shared" si="29"/>
        <v>1</v>
      </c>
      <c r="AX7" s="13">
        <f t="shared" si="30"/>
        <v>15.0002</v>
      </c>
      <c r="AY7" s="6">
        <v>7.0000999999999998</v>
      </c>
      <c r="AZ7" s="2">
        <f t="shared" si="31"/>
        <v>3.0000999999999998</v>
      </c>
      <c r="BA7" s="13">
        <f t="shared" si="32"/>
        <v>18.000299999999999</v>
      </c>
      <c r="BB7" s="6">
        <v>7.0000999999999998</v>
      </c>
      <c r="BC7" s="2">
        <f t="shared" si="33"/>
        <v>3.0000999999999998</v>
      </c>
      <c r="BD7" s="13">
        <f t="shared" si="34"/>
        <v>21.000399999999999</v>
      </c>
      <c r="BF7" t="s">
        <v>17</v>
      </c>
      <c r="BG7" t="s">
        <v>18</v>
      </c>
      <c r="BH7" s="42">
        <v>6</v>
      </c>
      <c r="BI7">
        <v>4</v>
      </c>
      <c r="BJ7" s="37" t="s">
        <v>13</v>
      </c>
      <c r="BK7" s="37" t="s">
        <v>14</v>
      </c>
      <c r="BL7" s="43">
        <v>-5</v>
      </c>
      <c r="BO7" t="s">
        <v>17</v>
      </c>
      <c r="BP7" t="s">
        <v>18</v>
      </c>
      <c r="BQ7">
        <v>7</v>
      </c>
      <c r="BR7" s="40">
        <f t="shared" si="35"/>
        <v>-1</v>
      </c>
    </row>
    <row r="8" spans="1:70" x14ac:dyDescent="0.25">
      <c r="A8" t="s">
        <v>15</v>
      </c>
      <c r="B8" t="s">
        <v>16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3</v>
      </c>
      <c r="J8" s="2">
        <f t="shared" si="4"/>
        <v>-1</v>
      </c>
      <c r="K8" s="13">
        <f t="shared" si="5"/>
        <v>-2</v>
      </c>
      <c r="L8" s="16">
        <v>3</v>
      </c>
      <c r="M8" s="2">
        <f t="shared" si="6"/>
        <v>-1</v>
      </c>
      <c r="N8" s="13">
        <f t="shared" si="7"/>
        <v>-3</v>
      </c>
      <c r="O8" s="16">
        <v>3</v>
      </c>
      <c r="P8" s="2">
        <f t="shared" si="8"/>
        <v>-1</v>
      </c>
      <c r="Q8" s="13">
        <f t="shared" si="9"/>
        <v>-4</v>
      </c>
      <c r="R8" s="17">
        <v>3</v>
      </c>
      <c r="S8" s="2">
        <f t="shared" si="10"/>
        <v>-1</v>
      </c>
      <c r="T8" s="13">
        <f t="shared" si="11"/>
        <v>-5</v>
      </c>
      <c r="U8" s="6">
        <v>7.0000999999999998</v>
      </c>
      <c r="V8" s="2">
        <f t="shared" si="12"/>
        <v>3.0000999999999998</v>
      </c>
      <c r="W8" s="13">
        <f t="shared" si="13"/>
        <v>-1.9999000000000002</v>
      </c>
      <c r="X8" s="16">
        <v>4</v>
      </c>
      <c r="Y8" s="2">
        <f t="shared" si="14"/>
        <v>0</v>
      </c>
      <c r="Z8" s="13">
        <f t="shared" si="15"/>
        <v>-1.9999000000000002</v>
      </c>
      <c r="AA8" s="16">
        <v>4</v>
      </c>
      <c r="AB8" s="2">
        <f t="shared" si="16"/>
        <v>0</v>
      </c>
      <c r="AC8" s="13">
        <f t="shared" si="17"/>
        <v>-1.9999000000000002</v>
      </c>
      <c r="AD8" s="16">
        <v>6</v>
      </c>
      <c r="AE8" s="2">
        <f t="shared" si="18"/>
        <v>2</v>
      </c>
      <c r="AF8" s="13">
        <f t="shared" si="19"/>
        <v>9.9999999999766942E-5</v>
      </c>
      <c r="AG8" s="16">
        <v>3</v>
      </c>
      <c r="AH8" s="2">
        <f t="shared" si="20"/>
        <v>-1</v>
      </c>
      <c r="AI8" s="13">
        <f t="shared" si="21"/>
        <v>-0.99990000000000023</v>
      </c>
      <c r="AJ8" s="16">
        <v>3</v>
      </c>
      <c r="AK8" s="2">
        <f t="shared" si="22"/>
        <v>-1</v>
      </c>
      <c r="AL8" s="13">
        <f t="shared" si="23"/>
        <v>-1.9999000000000002</v>
      </c>
      <c r="AM8" s="16">
        <v>2</v>
      </c>
      <c r="AN8" s="2">
        <f t="shared" si="24"/>
        <v>-2</v>
      </c>
      <c r="AO8" s="13">
        <f t="shared" si="25"/>
        <v>-3.9999000000000002</v>
      </c>
      <c r="AP8" s="16">
        <v>4</v>
      </c>
      <c r="AQ8" s="2">
        <f t="shared" si="26"/>
        <v>0</v>
      </c>
      <c r="AR8" s="13">
        <f>IF(AP8&lt;&gt;"",AO8+AQ8,"")</f>
        <v>-3.9999000000000002</v>
      </c>
      <c r="AS8" s="16">
        <v>4</v>
      </c>
      <c r="AT8" s="2">
        <f t="shared" si="28"/>
        <v>0</v>
      </c>
      <c r="AU8" s="13">
        <f t="shared" si="36"/>
        <v>-3.9999000000000002</v>
      </c>
      <c r="AV8" s="16">
        <v>3</v>
      </c>
      <c r="AW8" s="2">
        <f t="shared" si="29"/>
        <v>-1</v>
      </c>
      <c r="AX8" s="13">
        <f t="shared" si="30"/>
        <v>-4.9999000000000002</v>
      </c>
      <c r="AY8" s="16">
        <v>5</v>
      </c>
      <c r="AZ8" s="2">
        <f t="shared" si="31"/>
        <v>1</v>
      </c>
      <c r="BA8" s="13">
        <f t="shared" si="32"/>
        <v>-3.9999000000000002</v>
      </c>
      <c r="BB8" s="16">
        <v>5</v>
      </c>
      <c r="BC8" s="2">
        <f t="shared" si="33"/>
        <v>1</v>
      </c>
      <c r="BD8" s="13">
        <f t="shared" si="34"/>
        <v>-2.9999000000000002</v>
      </c>
      <c r="BF8" t="s">
        <v>15</v>
      </c>
      <c r="BG8" t="s">
        <v>16</v>
      </c>
      <c r="BH8" s="42">
        <v>9.9999999999766942E-5</v>
      </c>
      <c r="BI8">
        <v>5</v>
      </c>
      <c r="BJ8" s="37" t="s">
        <v>23</v>
      </c>
      <c r="BK8" s="37" t="s">
        <v>24</v>
      </c>
      <c r="BL8" s="43">
        <v>-4</v>
      </c>
      <c r="BO8" t="s">
        <v>15</v>
      </c>
      <c r="BP8" t="s">
        <v>16</v>
      </c>
      <c r="BQ8">
        <v>10</v>
      </c>
      <c r="BR8" s="40">
        <f t="shared" si="35"/>
        <v>-9.9999000000000002</v>
      </c>
    </row>
    <row r="9" spans="1:70" x14ac:dyDescent="0.25">
      <c r="A9" t="s">
        <v>29</v>
      </c>
      <c r="B9" t="s">
        <v>30</v>
      </c>
      <c r="C9" s="16">
        <v>3</v>
      </c>
      <c r="D9" s="2">
        <f t="shared" si="0"/>
        <v>-1</v>
      </c>
      <c r="E9" s="13">
        <f t="shared" si="1"/>
        <v>-1</v>
      </c>
      <c r="F9" s="16">
        <v>3</v>
      </c>
      <c r="G9" s="2">
        <f t="shared" si="2"/>
        <v>-1</v>
      </c>
      <c r="H9" s="13">
        <f t="shared" si="3"/>
        <v>-2</v>
      </c>
      <c r="I9" s="16">
        <v>3</v>
      </c>
      <c r="J9" s="2">
        <f t="shared" si="4"/>
        <v>-1</v>
      </c>
      <c r="K9" s="13">
        <f t="shared" si="5"/>
        <v>-3</v>
      </c>
      <c r="L9" s="16">
        <v>3</v>
      </c>
      <c r="M9" s="2">
        <f t="shared" si="6"/>
        <v>-1</v>
      </c>
      <c r="N9" s="13">
        <f t="shared" si="7"/>
        <v>-4</v>
      </c>
      <c r="O9" s="16">
        <v>2</v>
      </c>
      <c r="P9" s="2">
        <f t="shared" si="8"/>
        <v>-2</v>
      </c>
      <c r="Q9" s="13">
        <f t="shared" si="9"/>
        <v>-6</v>
      </c>
      <c r="R9" s="17">
        <v>3</v>
      </c>
      <c r="S9" s="2">
        <f t="shared" si="10"/>
        <v>-1</v>
      </c>
      <c r="T9" s="13">
        <f t="shared" si="11"/>
        <v>-7</v>
      </c>
      <c r="U9" s="16">
        <v>3</v>
      </c>
      <c r="V9" s="2">
        <f t="shared" si="12"/>
        <v>-1</v>
      </c>
      <c r="W9" s="13">
        <f t="shared" si="13"/>
        <v>-8</v>
      </c>
      <c r="X9" s="16">
        <v>2</v>
      </c>
      <c r="Y9" s="2">
        <f t="shared" si="14"/>
        <v>-2</v>
      </c>
      <c r="Z9" s="13">
        <f t="shared" si="15"/>
        <v>-10</v>
      </c>
      <c r="AA9" s="16">
        <v>3</v>
      </c>
      <c r="AB9" s="2">
        <f t="shared" si="16"/>
        <v>-1</v>
      </c>
      <c r="AC9" s="13">
        <f t="shared" si="17"/>
        <v>-11</v>
      </c>
      <c r="AD9" s="16">
        <v>3</v>
      </c>
      <c r="AE9" s="2">
        <f t="shared" si="18"/>
        <v>-1</v>
      </c>
      <c r="AF9" s="13">
        <f t="shared" si="19"/>
        <v>-12</v>
      </c>
      <c r="AG9" s="16">
        <v>3</v>
      </c>
      <c r="AH9" s="2">
        <f t="shared" si="20"/>
        <v>-1</v>
      </c>
      <c r="AI9" s="13">
        <f t="shared" si="21"/>
        <v>-13</v>
      </c>
      <c r="AJ9" s="16">
        <v>3</v>
      </c>
      <c r="AK9" s="2">
        <f t="shared" si="22"/>
        <v>-1</v>
      </c>
      <c r="AL9" s="13">
        <f t="shared" si="23"/>
        <v>-14</v>
      </c>
      <c r="AM9" s="16">
        <v>2</v>
      </c>
      <c r="AN9" s="2">
        <f t="shared" si="24"/>
        <v>-2</v>
      </c>
      <c r="AO9" s="13">
        <f t="shared" si="25"/>
        <v>-16</v>
      </c>
      <c r="AP9" s="16">
        <v>3</v>
      </c>
      <c r="AQ9" s="2">
        <f t="shared" si="26"/>
        <v>-1</v>
      </c>
      <c r="AR9" s="13">
        <f t="shared" si="27"/>
        <v>-17</v>
      </c>
      <c r="AS9" s="16">
        <v>3</v>
      </c>
      <c r="AT9" s="2">
        <f t="shared" si="28"/>
        <v>-1</v>
      </c>
      <c r="AU9" s="13">
        <f>IF(AS9&lt;&gt;"",AR9+AT9,"")</f>
        <v>-18</v>
      </c>
      <c r="AV9" s="16">
        <v>1</v>
      </c>
      <c r="AW9" s="2">
        <f t="shared" si="29"/>
        <v>-3</v>
      </c>
      <c r="AX9" s="13">
        <f t="shared" si="30"/>
        <v>-21</v>
      </c>
      <c r="AY9" s="16">
        <v>3</v>
      </c>
      <c r="AZ9" s="2">
        <f t="shared" si="31"/>
        <v>-1</v>
      </c>
      <c r="BA9" s="13">
        <f t="shared" si="32"/>
        <v>-22</v>
      </c>
      <c r="BB9" s="16">
        <v>3</v>
      </c>
      <c r="BC9" s="2">
        <f t="shared" si="33"/>
        <v>-1</v>
      </c>
      <c r="BD9" s="13">
        <f t="shared" si="34"/>
        <v>-23</v>
      </c>
      <c r="BF9" t="s">
        <v>29</v>
      </c>
      <c r="BG9" t="s">
        <v>30</v>
      </c>
      <c r="BH9" s="42">
        <v>-12</v>
      </c>
      <c r="BI9">
        <v>6</v>
      </c>
      <c r="BJ9" s="37" t="s">
        <v>9</v>
      </c>
      <c r="BK9" s="37" t="s">
        <v>10</v>
      </c>
      <c r="BL9" s="43">
        <v>0</v>
      </c>
      <c r="BO9" t="s">
        <v>29</v>
      </c>
      <c r="BP9" t="s">
        <v>30</v>
      </c>
      <c r="BQ9">
        <v>-22</v>
      </c>
      <c r="BR9" s="40">
        <f t="shared" si="35"/>
        <v>10</v>
      </c>
    </row>
    <row r="10" spans="1:70" x14ac:dyDescent="0.25">
      <c r="A10" t="s">
        <v>19</v>
      </c>
      <c r="B10" t="s">
        <v>20</v>
      </c>
      <c r="C10" s="16">
        <v>4</v>
      </c>
      <c r="D10" s="2">
        <f t="shared" si="0"/>
        <v>0</v>
      </c>
      <c r="E10" s="13">
        <f t="shared" si="1"/>
        <v>0</v>
      </c>
      <c r="F10" s="16">
        <v>4</v>
      </c>
      <c r="G10" s="2">
        <f t="shared" si="2"/>
        <v>0</v>
      </c>
      <c r="H10" s="13">
        <f t="shared" si="3"/>
        <v>0</v>
      </c>
      <c r="I10" s="16">
        <v>4</v>
      </c>
      <c r="J10" s="2">
        <f t="shared" si="4"/>
        <v>0</v>
      </c>
      <c r="K10" s="13">
        <f t="shared" si="5"/>
        <v>0</v>
      </c>
      <c r="L10" s="16">
        <v>5</v>
      </c>
      <c r="M10" s="2">
        <f t="shared" si="6"/>
        <v>1</v>
      </c>
      <c r="N10" s="13">
        <f t="shared" si="7"/>
        <v>1</v>
      </c>
      <c r="O10" s="16">
        <v>4</v>
      </c>
      <c r="P10" s="2">
        <f t="shared" si="8"/>
        <v>0</v>
      </c>
      <c r="Q10" s="13">
        <f t="shared" si="9"/>
        <v>1</v>
      </c>
      <c r="R10" s="16">
        <v>4</v>
      </c>
      <c r="S10" s="2">
        <f t="shared" si="10"/>
        <v>0</v>
      </c>
      <c r="T10" s="13">
        <f t="shared" si="11"/>
        <v>1</v>
      </c>
      <c r="U10" s="16">
        <v>5</v>
      </c>
      <c r="V10" s="2">
        <f t="shared" si="12"/>
        <v>1</v>
      </c>
      <c r="W10" s="13">
        <f t="shared" si="13"/>
        <v>2</v>
      </c>
      <c r="X10" s="16">
        <v>3</v>
      </c>
      <c r="Y10" s="2">
        <f t="shared" si="14"/>
        <v>-1</v>
      </c>
      <c r="Z10" s="13">
        <f t="shared" si="15"/>
        <v>1</v>
      </c>
      <c r="AA10" s="16">
        <v>3</v>
      </c>
      <c r="AB10" s="2">
        <f t="shared" si="16"/>
        <v>-1</v>
      </c>
      <c r="AC10" s="13">
        <f t="shared" si="17"/>
        <v>0</v>
      </c>
      <c r="AD10" s="16">
        <v>4</v>
      </c>
      <c r="AE10" s="2">
        <f t="shared" si="18"/>
        <v>0</v>
      </c>
      <c r="AF10" s="13">
        <f t="shared" si="19"/>
        <v>0</v>
      </c>
      <c r="AG10" s="16">
        <v>3</v>
      </c>
      <c r="AH10" s="2">
        <f t="shared" si="20"/>
        <v>-1</v>
      </c>
      <c r="AI10" s="13">
        <f t="shared" si="21"/>
        <v>-1</v>
      </c>
      <c r="AJ10" s="16">
        <v>3</v>
      </c>
      <c r="AK10" s="2">
        <f t="shared" si="22"/>
        <v>-1</v>
      </c>
      <c r="AL10" s="13">
        <f t="shared" si="23"/>
        <v>-2</v>
      </c>
      <c r="AM10" s="16">
        <v>4</v>
      </c>
      <c r="AN10" s="2">
        <f t="shared" si="24"/>
        <v>0</v>
      </c>
      <c r="AO10" s="13">
        <f t="shared" si="25"/>
        <v>-2</v>
      </c>
      <c r="AP10" s="16">
        <v>5</v>
      </c>
      <c r="AQ10" s="2">
        <f t="shared" si="26"/>
        <v>1</v>
      </c>
      <c r="AR10" s="13">
        <f t="shared" si="27"/>
        <v>-1</v>
      </c>
      <c r="AS10" s="16">
        <v>3</v>
      </c>
      <c r="AT10" s="2">
        <f t="shared" si="28"/>
        <v>-1</v>
      </c>
      <c r="AU10" s="13">
        <f>IF(AS10&lt;&gt;"",AR10+AT10,"")</f>
        <v>-2</v>
      </c>
      <c r="AV10" s="16">
        <v>3</v>
      </c>
      <c r="AW10" s="2">
        <f t="shared" si="29"/>
        <v>-1</v>
      </c>
      <c r="AX10" s="13">
        <f t="shared" si="30"/>
        <v>-3</v>
      </c>
      <c r="AY10" s="16">
        <v>5</v>
      </c>
      <c r="AZ10" s="2">
        <f t="shared" si="31"/>
        <v>1</v>
      </c>
      <c r="BA10" s="13">
        <f t="shared" si="32"/>
        <v>-2</v>
      </c>
      <c r="BB10" s="16">
        <v>4</v>
      </c>
      <c r="BC10" s="2">
        <f t="shared" si="33"/>
        <v>0</v>
      </c>
      <c r="BD10" s="13">
        <f t="shared" si="34"/>
        <v>-2</v>
      </c>
      <c r="BF10" t="s">
        <v>19</v>
      </c>
      <c r="BG10" t="s">
        <v>20</v>
      </c>
      <c r="BH10" s="42">
        <v>0</v>
      </c>
      <c r="BI10">
        <v>7</v>
      </c>
      <c r="BJ10" s="37" t="s">
        <v>19</v>
      </c>
      <c r="BK10" s="37" t="s">
        <v>20</v>
      </c>
      <c r="BL10" s="43">
        <v>0</v>
      </c>
      <c r="BO10" t="s">
        <v>19</v>
      </c>
      <c r="BP10" t="s">
        <v>20</v>
      </c>
      <c r="BQ10">
        <v>13</v>
      </c>
      <c r="BR10" s="40">
        <f t="shared" si="35"/>
        <v>-13</v>
      </c>
    </row>
    <row r="11" spans="1:70" x14ac:dyDescent="0.25">
      <c r="A11" t="s">
        <v>21</v>
      </c>
      <c r="B11" t="s">
        <v>22</v>
      </c>
      <c r="C11" s="16">
        <v>4</v>
      </c>
      <c r="D11" s="2">
        <f t="shared" si="0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3</v>
      </c>
      <c r="M11" s="2">
        <f t="shared" si="6"/>
        <v>-1</v>
      </c>
      <c r="N11" s="13">
        <f t="shared" si="7"/>
        <v>0</v>
      </c>
      <c r="O11" s="16">
        <v>5</v>
      </c>
      <c r="P11" s="2">
        <f t="shared" si="8"/>
        <v>1</v>
      </c>
      <c r="Q11" s="13">
        <f t="shared" si="9"/>
        <v>1</v>
      </c>
      <c r="R11" s="16">
        <v>4</v>
      </c>
      <c r="S11" s="2">
        <f t="shared" si="10"/>
        <v>0</v>
      </c>
      <c r="T11" s="13">
        <f t="shared" si="11"/>
        <v>1</v>
      </c>
      <c r="U11" s="6">
        <v>7.0000999999999998</v>
      </c>
      <c r="V11" s="2">
        <f t="shared" si="12"/>
        <v>3.0000999999999998</v>
      </c>
      <c r="W11" s="13">
        <f t="shared" si="13"/>
        <v>4.0000999999999998</v>
      </c>
      <c r="X11" s="16">
        <v>4</v>
      </c>
      <c r="Y11" s="2">
        <f t="shared" si="14"/>
        <v>0</v>
      </c>
      <c r="Z11" s="13">
        <f t="shared" si="15"/>
        <v>4.0000999999999998</v>
      </c>
      <c r="AA11" s="16">
        <v>3</v>
      </c>
      <c r="AB11" s="2">
        <f t="shared" si="16"/>
        <v>-1</v>
      </c>
      <c r="AC11" s="13">
        <f t="shared" si="17"/>
        <v>3.0000999999999998</v>
      </c>
      <c r="AD11" s="16">
        <v>3</v>
      </c>
      <c r="AE11" s="2">
        <f t="shared" si="18"/>
        <v>-1</v>
      </c>
      <c r="AF11" s="13">
        <f t="shared" si="19"/>
        <v>2.0000999999999998</v>
      </c>
      <c r="AG11" s="6">
        <v>7.0000999999999998</v>
      </c>
      <c r="AH11" s="2">
        <f t="shared" si="20"/>
        <v>3.0000999999999998</v>
      </c>
      <c r="AI11" s="13">
        <f t="shared" si="21"/>
        <v>5.0001999999999995</v>
      </c>
      <c r="AJ11" s="16">
        <v>3</v>
      </c>
      <c r="AK11" s="2">
        <f t="shared" si="22"/>
        <v>-1</v>
      </c>
      <c r="AL11" s="13">
        <f t="shared" si="23"/>
        <v>4.0001999999999995</v>
      </c>
      <c r="AM11" s="16">
        <v>4</v>
      </c>
      <c r="AN11" s="2">
        <f t="shared" si="24"/>
        <v>0</v>
      </c>
      <c r="AO11" s="13">
        <f t="shared" si="25"/>
        <v>4.0001999999999995</v>
      </c>
      <c r="AP11" s="16">
        <v>6</v>
      </c>
      <c r="AQ11" s="2">
        <f t="shared" si="26"/>
        <v>2</v>
      </c>
      <c r="AR11" s="13">
        <f>IF(AP11&lt;&gt;"",AO11+AQ11,"")</f>
        <v>6.0001999999999995</v>
      </c>
      <c r="AS11" s="16">
        <v>5</v>
      </c>
      <c r="AT11" s="2">
        <f t="shared" si="28"/>
        <v>1</v>
      </c>
      <c r="AU11" s="13">
        <f t="shared" si="36"/>
        <v>7.0001999999999995</v>
      </c>
      <c r="AV11" s="6">
        <v>7.0000999999999998</v>
      </c>
      <c r="AW11" s="2">
        <f t="shared" si="29"/>
        <v>3.0000999999999998</v>
      </c>
      <c r="AX11" s="13">
        <f t="shared" si="30"/>
        <v>10.000299999999999</v>
      </c>
      <c r="AY11" s="6">
        <v>7.0000999999999998</v>
      </c>
      <c r="AZ11" s="2">
        <f t="shared" si="31"/>
        <v>3.0000999999999998</v>
      </c>
      <c r="BA11" s="13">
        <f t="shared" si="32"/>
        <v>13.000399999999999</v>
      </c>
      <c r="BB11" s="6">
        <v>7.0000999999999998</v>
      </c>
      <c r="BC11" s="2">
        <f t="shared" si="33"/>
        <v>3.0000999999999998</v>
      </c>
      <c r="BD11" s="13">
        <f t="shared" si="34"/>
        <v>16.000499999999999</v>
      </c>
      <c r="BF11" t="s">
        <v>21</v>
      </c>
      <c r="BG11" t="s">
        <v>22</v>
      </c>
      <c r="BH11" s="42">
        <v>2.0000999999999998</v>
      </c>
      <c r="BI11">
        <v>8</v>
      </c>
      <c r="BJ11" s="37" t="s">
        <v>15</v>
      </c>
      <c r="BK11" s="37" t="s">
        <v>16</v>
      </c>
      <c r="BL11" s="43">
        <v>9.9999999999766942E-5</v>
      </c>
      <c r="BO11" t="s">
        <v>21</v>
      </c>
      <c r="BP11" t="s">
        <v>22</v>
      </c>
      <c r="BQ11">
        <v>11</v>
      </c>
      <c r="BR11" s="40">
        <f t="shared" si="35"/>
        <v>-8.9999000000000002</v>
      </c>
    </row>
    <row r="12" spans="1:70" x14ac:dyDescent="0.25">
      <c r="A12" t="s">
        <v>21</v>
      </c>
      <c r="B12" t="s">
        <v>31</v>
      </c>
      <c r="C12" s="16">
        <v>3</v>
      </c>
      <c r="D12" s="2">
        <f t="shared" si="0"/>
        <v>-1</v>
      </c>
      <c r="E12" s="13">
        <f t="shared" si="1"/>
        <v>-1</v>
      </c>
      <c r="F12" s="17">
        <v>4</v>
      </c>
      <c r="G12" s="2">
        <f t="shared" si="2"/>
        <v>0</v>
      </c>
      <c r="H12" s="13">
        <f t="shared" si="3"/>
        <v>-1</v>
      </c>
      <c r="I12" s="17">
        <v>3</v>
      </c>
      <c r="J12" s="2">
        <f t="shared" si="4"/>
        <v>-1</v>
      </c>
      <c r="K12" s="13">
        <f t="shared" si="5"/>
        <v>-2</v>
      </c>
      <c r="L12" s="17">
        <v>3</v>
      </c>
      <c r="M12" s="2">
        <f t="shared" si="6"/>
        <v>-1</v>
      </c>
      <c r="N12" s="13">
        <f t="shared" si="7"/>
        <v>-3</v>
      </c>
      <c r="O12" s="17">
        <v>3</v>
      </c>
      <c r="P12" s="2">
        <f t="shared" si="8"/>
        <v>-1</v>
      </c>
      <c r="Q12" s="13">
        <f t="shared" si="9"/>
        <v>-4</v>
      </c>
      <c r="R12" s="17">
        <v>3</v>
      </c>
      <c r="S12" s="2">
        <f t="shared" si="10"/>
        <v>-1</v>
      </c>
      <c r="T12" s="13">
        <f t="shared" si="11"/>
        <v>-5</v>
      </c>
      <c r="U12" s="16">
        <v>3</v>
      </c>
      <c r="V12" s="2">
        <f t="shared" si="12"/>
        <v>-1</v>
      </c>
      <c r="W12" s="13">
        <f t="shared" si="13"/>
        <v>-6</v>
      </c>
      <c r="X12" s="16">
        <v>2</v>
      </c>
      <c r="Y12" s="2">
        <f t="shared" si="14"/>
        <v>-2</v>
      </c>
      <c r="Z12" s="13">
        <f t="shared" si="15"/>
        <v>-8</v>
      </c>
      <c r="AA12" s="16">
        <v>3</v>
      </c>
      <c r="AB12" s="2">
        <f t="shared" si="16"/>
        <v>-1</v>
      </c>
      <c r="AC12" s="13">
        <f t="shared" si="17"/>
        <v>-9</v>
      </c>
      <c r="AD12" s="16">
        <v>2</v>
      </c>
      <c r="AE12" s="2">
        <f t="shared" si="18"/>
        <v>-2</v>
      </c>
      <c r="AF12" s="13">
        <f t="shared" si="19"/>
        <v>-11</v>
      </c>
      <c r="AG12" s="16">
        <v>3</v>
      </c>
      <c r="AH12" s="2">
        <f t="shared" si="20"/>
        <v>-1</v>
      </c>
      <c r="AI12" s="13">
        <f t="shared" si="21"/>
        <v>-12</v>
      </c>
      <c r="AJ12" s="16">
        <v>3</v>
      </c>
      <c r="AK12" s="2">
        <f t="shared" si="22"/>
        <v>-1</v>
      </c>
      <c r="AL12" s="13">
        <f t="shared" si="23"/>
        <v>-13</v>
      </c>
      <c r="AM12" s="16">
        <v>3</v>
      </c>
      <c r="AN12" s="2">
        <f t="shared" si="24"/>
        <v>-1</v>
      </c>
      <c r="AO12" s="13">
        <f t="shared" si="25"/>
        <v>-14</v>
      </c>
      <c r="AP12" s="16">
        <v>3</v>
      </c>
      <c r="AQ12" s="2">
        <f t="shared" si="26"/>
        <v>-1</v>
      </c>
      <c r="AR12" s="13">
        <f t="shared" si="27"/>
        <v>-15</v>
      </c>
      <c r="AS12" s="16">
        <v>2</v>
      </c>
      <c r="AT12" s="2">
        <f t="shared" si="28"/>
        <v>-2</v>
      </c>
      <c r="AU12" s="13">
        <f>IF(AS12&lt;&gt;"",AR12+AT12,"")</f>
        <v>-17</v>
      </c>
      <c r="AV12" s="16">
        <v>3</v>
      </c>
      <c r="AW12" s="2">
        <f t="shared" si="29"/>
        <v>-1</v>
      </c>
      <c r="AX12" s="13">
        <f t="shared" si="30"/>
        <v>-18</v>
      </c>
      <c r="AY12" s="16">
        <v>3</v>
      </c>
      <c r="AZ12" s="2">
        <f t="shared" si="31"/>
        <v>-1</v>
      </c>
      <c r="BA12" s="13">
        <f t="shared" si="32"/>
        <v>-19</v>
      </c>
      <c r="BB12" s="16">
        <v>3</v>
      </c>
      <c r="BC12" s="2">
        <f t="shared" si="33"/>
        <v>-1</v>
      </c>
      <c r="BD12" s="13">
        <f t="shared" si="34"/>
        <v>-20</v>
      </c>
      <c r="BF12" t="s">
        <v>21</v>
      </c>
      <c r="BG12" t="s">
        <v>31</v>
      </c>
      <c r="BH12" s="42">
        <v>-11</v>
      </c>
      <c r="BI12">
        <v>9</v>
      </c>
      <c r="BJ12" s="37" t="s">
        <v>21</v>
      </c>
      <c r="BK12" s="37" t="s">
        <v>22</v>
      </c>
      <c r="BL12" s="43">
        <v>2.0000999999999998</v>
      </c>
      <c r="BO12" t="s">
        <v>21</v>
      </c>
      <c r="BP12" t="s">
        <v>31</v>
      </c>
      <c r="BQ12">
        <v>-17</v>
      </c>
      <c r="BR12" s="40">
        <f t="shared" si="35"/>
        <v>6</v>
      </c>
    </row>
    <row r="13" spans="1:70" x14ac:dyDescent="0.25">
      <c r="A13" t="s">
        <v>23</v>
      </c>
      <c r="B13" t="s">
        <v>24</v>
      </c>
      <c r="C13" s="16">
        <v>3</v>
      </c>
      <c r="D13" s="2">
        <f t="shared" si="0"/>
        <v>-1</v>
      </c>
      <c r="E13" s="13">
        <f t="shared" si="1"/>
        <v>-1</v>
      </c>
      <c r="F13" s="17">
        <v>3</v>
      </c>
      <c r="G13" s="2">
        <f t="shared" si="2"/>
        <v>-1</v>
      </c>
      <c r="H13" s="13">
        <f t="shared" si="3"/>
        <v>-2</v>
      </c>
      <c r="I13" s="17">
        <v>4</v>
      </c>
      <c r="J13" s="2">
        <f t="shared" si="4"/>
        <v>0</v>
      </c>
      <c r="K13" s="13">
        <f t="shared" si="5"/>
        <v>-2</v>
      </c>
      <c r="L13" s="17">
        <v>4</v>
      </c>
      <c r="M13" s="2">
        <f t="shared" si="6"/>
        <v>0</v>
      </c>
      <c r="N13" s="13">
        <f t="shared" si="7"/>
        <v>-2</v>
      </c>
      <c r="O13" s="17">
        <v>4</v>
      </c>
      <c r="P13" s="2">
        <f t="shared" si="8"/>
        <v>0</v>
      </c>
      <c r="Q13" s="13">
        <f t="shared" si="9"/>
        <v>-2</v>
      </c>
      <c r="R13" s="17">
        <v>3</v>
      </c>
      <c r="S13" s="2">
        <f t="shared" si="10"/>
        <v>-1</v>
      </c>
      <c r="T13" s="13">
        <f t="shared" si="11"/>
        <v>-3</v>
      </c>
      <c r="U13" s="16">
        <v>3</v>
      </c>
      <c r="V13" s="2">
        <f t="shared" si="12"/>
        <v>-1</v>
      </c>
      <c r="W13" s="13">
        <f t="shared" si="13"/>
        <v>-4</v>
      </c>
      <c r="X13" s="16">
        <v>4</v>
      </c>
      <c r="Y13" s="2">
        <f t="shared" si="14"/>
        <v>0</v>
      </c>
      <c r="Z13" s="13">
        <f t="shared" si="15"/>
        <v>-4</v>
      </c>
      <c r="AA13" s="16">
        <v>3</v>
      </c>
      <c r="AB13" s="2">
        <f t="shared" si="16"/>
        <v>-1</v>
      </c>
      <c r="AC13" s="13">
        <f t="shared" si="17"/>
        <v>-5</v>
      </c>
      <c r="AD13" s="16">
        <v>5</v>
      </c>
      <c r="AE13" s="2">
        <f t="shared" si="18"/>
        <v>1</v>
      </c>
      <c r="AF13" s="13">
        <f>IF(AD13&lt;&gt;"",AC13+AE13,"")</f>
        <v>-4</v>
      </c>
      <c r="AG13" s="16">
        <v>2</v>
      </c>
      <c r="AH13" s="2">
        <f t="shared" si="20"/>
        <v>-2</v>
      </c>
      <c r="AI13" s="13">
        <f t="shared" si="21"/>
        <v>-6</v>
      </c>
      <c r="AJ13" s="16">
        <v>3</v>
      </c>
      <c r="AK13" s="2">
        <f t="shared" si="22"/>
        <v>-1</v>
      </c>
      <c r="AL13" s="13">
        <f t="shared" si="23"/>
        <v>-7</v>
      </c>
      <c r="AM13" s="16">
        <v>4</v>
      </c>
      <c r="AN13" s="2">
        <f t="shared" si="24"/>
        <v>0</v>
      </c>
      <c r="AO13" s="13">
        <f t="shared" si="25"/>
        <v>-7</v>
      </c>
      <c r="AP13" s="16">
        <v>4</v>
      </c>
      <c r="AQ13" s="2">
        <f t="shared" si="26"/>
        <v>0</v>
      </c>
      <c r="AR13" s="13">
        <f>IF(AP13&lt;&gt;"",AO13+AQ13,"")</f>
        <v>-7</v>
      </c>
      <c r="AS13" s="16">
        <v>4</v>
      </c>
      <c r="AT13" s="2">
        <f>IF(AS13&lt;&gt;"",AS13-$B$1,"")</f>
        <v>0</v>
      </c>
      <c r="AU13" s="13">
        <f>IF(AS13&lt;&gt;"",AR13+AT13,"")</f>
        <v>-7</v>
      </c>
      <c r="AV13" s="16">
        <v>4</v>
      </c>
      <c r="AW13" s="2">
        <f t="shared" si="29"/>
        <v>0</v>
      </c>
      <c r="AX13" s="13">
        <f t="shared" si="30"/>
        <v>-7</v>
      </c>
      <c r="AY13" s="16">
        <v>4</v>
      </c>
      <c r="AZ13" s="2">
        <f t="shared" si="31"/>
        <v>0</v>
      </c>
      <c r="BA13" s="13">
        <f t="shared" si="32"/>
        <v>-7</v>
      </c>
      <c r="BB13" s="16">
        <v>3</v>
      </c>
      <c r="BC13" s="2">
        <f t="shared" si="33"/>
        <v>-1</v>
      </c>
      <c r="BD13" s="13">
        <f t="shared" si="34"/>
        <v>-8</v>
      </c>
      <c r="BF13" t="s">
        <v>23</v>
      </c>
      <c r="BG13" t="s">
        <v>24</v>
      </c>
      <c r="BH13" s="42">
        <v>-4</v>
      </c>
      <c r="BI13">
        <v>10</v>
      </c>
      <c r="BJ13" s="37" t="s">
        <v>17</v>
      </c>
      <c r="BK13" s="37" t="s">
        <v>18</v>
      </c>
      <c r="BL13" s="43">
        <v>6</v>
      </c>
      <c r="BO13" t="s">
        <v>23</v>
      </c>
      <c r="BP13" t="s">
        <v>24</v>
      </c>
      <c r="BQ13">
        <v>-3</v>
      </c>
      <c r="BR13" s="40">
        <f t="shared" si="35"/>
        <v>-1</v>
      </c>
    </row>
    <row r="14" spans="1:70" x14ac:dyDescent="0.25">
      <c r="C14" s="31"/>
      <c r="E14" s="13"/>
      <c r="F14" s="32"/>
      <c r="H14" s="13"/>
      <c r="I14" s="32"/>
      <c r="K14" s="13"/>
      <c r="L14" s="32"/>
      <c r="N14" s="13"/>
      <c r="O14" s="32"/>
      <c r="Q14" s="13"/>
      <c r="R14" s="32"/>
      <c r="T14" s="13"/>
      <c r="U14" s="32"/>
      <c r="W14" s="13"/>
      <c r="X14" s="32"/>
      <c r="Z14" s="13"/>
      <c r="AA14" s="32"/>
      <c r="AC14" s="13"/>
      <c r="AD14" s="32"/>
      <c r="AF14" s="13"/>
      <c r="AG14" s="32"/>
      <c r="AI14" s="13"/>
      <c r="AJ14" s="32"/>
      <c r="AL14" s="13"/>
      <c r="AM14" s="32"/>
      <c r="AO14" s="13"/>
      <c r="AP14" s="32"/>
      <c r="AR14" s="13"/>
      <c r="AS14" s="32"/>
      <c r="AU14" s="13"/>
      <c r="AV14" s="32"/>
      <c r="AX14" s="13"/>
      <c r="AY14" s="32"/>
      <c r="BA14" s="13"/>
      <c r="BB14" s="32"/>
      <c r="BD14" s="13"/>
      <c r="BJ14" s="37"/>
      <c r="BK14" s="37"/>
      <c r="BL14" s="37"/>
      <c r="BR14" s="1"/>
    </row>
    <row r="15" spans="1:70" x14ac:dyDescent="0.25">
      <c r="C15" s="33"/>
      <c r="D15" s="34"/>
      <c r="E15" s="15"/>
      <c r="F15" s="35"/>
      <c r="G15" s="34"/>
      <c r="H15" s="15"/>
      <c r="I15" s="35"/>
      <c r="J15" s="34"/>
      <c r="K15" s="15"/>
      <c r="L15" s="35"/>
      <c r="M15" s="34"/>
      <c r="N15" s="15"/>
      <c r="O15" s="35"/>
      <c r="P15" s="34"/>
      <c r="Q15" s="15"/>
      <c r="R15" s="35"/>
      <c r="S15" s="34"/>
      <c r="T15" s="15"/>
      <c r="U15" s="35"/>
      <c r="V15" s="34"/>
      <c r="W15" s="15"/>
      <c r="X15" s="35"/>
      <c r="Y15" s="34"/>
      <c r="Z15" s="15"/>
      <c r="AA15" s="35"/>
      <c r="AB15" s="34"/>
      <c r="AC15" s="15"/>
      <c r="AD15" s="35"/>
      <c r="AE15" s="34"/>
      <c r="AF15" s="15"/>
      <c r="AG15" s="35"/>
      <c r="AH15" s="34"/>
      <c r="AI15" s="15"/>
      <c r="AJ15" s="35"/>
      <c r="AK15" s="34"/>
      <c r="AL15" s="15"/>
      <c r="AM15" s="35"/>
      <c r="AN15" s="34"/>
      <c r="AO15" s="15"/>
      <c r="AP15" s="35"/>
      <c r="AQ15" s="34"/>
      <c r="AR15" s="15"/>
      <c r="AS15" s="35"/>
      <c r="AT15" s="34"/>
      <c r="AU15" s="15"/>
      <c r="AV15" s="35"/>
      <c r="AW15" s="34"/>
      <c r="AX15" s="15"/>
      <c r="AY15" s="35"/>
      <c r="AZ15" s="34"/>
      <c r="BA15" s="15"/>
      <c r="BB15" s="35"/>
      <c r="BC15" s="34"/>
      <c r="BD15" s="15"/>
      <c r="BR15" s="1"/>
    </row>
    <row r="16" spans="1:70" x14ac:dyDescent="0.25">
      <c r="BR16" s="1"/>
    </row>
    <row r="17" spans="2:56" x14ac:dyDescent="0.25">
      <c r="B17" t="s">
        <v>25</v>
      </c>
      <c r="C17" s="3">
        <f>IF(COUNT(C4:C15)&gt;0,AVERAGE(C4:C15),"")</f>
        <v>3.2</v>
      </c>
      <c r="D17" s="3"/>
      <c r="E17" s="3"/>
      <c r="F17" s="3">
        <f>IF(COUNT(F4:F15)&gt;0,AVERAGE(F4:F15),"")</f>
        <v>4.1000100000000002</v>
      </c>
      <c r="G17" s="3"/>
      <c r="H17" s="3"/>
      <c r="I17" s="3">
        <f>IF(COUNT(I4:I15)&gt;0,AVERAGE(I4:I15),"")</f>
        <v>3.5</v>
      </c>
      <c r="J17" s="3"/>
      <c r="K17" s="3"/>
      <c r="L17" s="3">
        <f>IF(COUNT(L4:L15)&gt;0,AVERAGE(L4:L15),"")</f>
        <v>3.9</v>
      </c>
      <c r="M17" s="3"/>
      <c r="N17" s="3"/>
      <c r="O17" s="3">
        <f>IF(COUNT(O4:O15)&gt;0,AVERAGE(O4:O15),"")</f>
        <v>3.4</v>
      </c>
      <c r="P17" s="3"/>
      <c r="Q17" s="3"/>
      <c r="R17" s="3">
        <f>IF(COUNT(R4:R15)&gt;0,AVERAGE(R4:R15),"")</f>
        <v>3.6</v>
      </c>
      <c r="S17" s="3"/>
      <c r="T17" s="3"/>
      <c r="U17" s="3">
        <f>IF(COUNT(U4:U15)&gt;0,AVERAGE(U4:U15),"")</f>
        <v>4.30002</v>
      </c>
      <c r="V17" s="3"/>
      <c r="W17" s="3"/>
      <c r="X17" s="3">
        <f>IF(COUNT(X4:X15)&gt;0,AVERAGE(X4:X15),"")</f>
        <v>3.4</v>
      </c>
      <c r="Y17" s="3"/>
      <c r="Z17" s="3"/>
      <c r="AA17" s="3">
        <f>IF(COUNT(AA4:AA15)&gt;0,AVERAGE(AA4:AA15),"")</f>
        <v>3.4</v>
      </c>
      <c r="AB17" s="3"/>
      <c r="AC17" s="3"/>
      <c r="AD17" s="3">
        <f>IF(COUNT(AD4:AD15)&gt;0,AVERAGE(AD4:AD15),"")</f>
        <v>4.1999899999999997</v>
      </c>
      <c r="AE17" s="3"/>
      <c r="AF17" s="3"/>
      <c r="AG17" s="3">
        <f>IF(COUNT(AG4:AG15)&gt;0,AVERAGE(AG4:AG15),"")</f>
        <v>4.1000199999999998</v>
      </c>
      <c r="AH17" s="3"/>
      <c r="AI17" s="3"/>
      <c r="AJ17" s="3">
        <f>IF(COUNT(AJ4:AJ15)&gt;0,AVERAGE(AJ4:AJ15),"")</f>
        <v>3.7000100000000002</v>
      </c>
      <c r="AK17" s="3"/>
      <c r="AL17" s="3"/>
      <c r="AM17" s="3">
        <f>IF(COUNT(AM4:AM15)&gt;0,AVERAGE(AM4:AM15),"")</f>
        <v>3.3</v>
      </c>
      <c r="AN17" s="18"/>
      <c r="AO17" s="18"/>
      <c r="AP17" s="3">
        <f>IF(COUNT(AP4:AP15)&gt;0,AVERAGE(AP4:AP15),"")</f>
        <v>4.6000100000000002</v>
      </c>
      <c r="AQ17" s="18"/>
      <c r="AR17" s="18"/>
      <c r="AS17" s="3">
        <f>IF(COUNT(AS4:AS15)&gt;0,AVERAGE(AS4:AS15),"")</f>
        <v>3.8</v>
      </c>
      <c r="AT17" s="18"/>
      <c r="AU17" s="18"/>
      <c r="AV17" s="3">
        <f>IF(COUNT(AV4:AV15)&gt;0,AVERAGE(AV4:AV15),"")</f>
        <v>3.7000100000000002</v>
      </c>
      <c r="AW17" s="18"/>
      <c r="AX17" s="18"/>
      <c r="AY17" s="3">
        <f>IF(COUNT(AY4:AY15)&gt;0,AVERAGE(AY4:AY15),"")</f>
        <v>4.4000199999999996</v>
      </c>
      <c r="AZ17" s="18"/>
      <c r="BA17" s="18"/>
      <c r="BB17" s="3">
        <f>IF(COUNT(BB4:BB15)&gt;0,AVERAGE(BB4:BB15),"")</f>
        <v>4.2000200000000003</v>
      </c>
      <c r="BC17" s="18"/>
      <c r="BD17" s="18"/>
    </row>
    <row r="19" spans="2:56" x14ac:dyDescent="0.25">
      <c r="C19" s="6">
        <v>7.0000999999999998</v>
      </c>
      <c r="D19" s="7" t="s">
        <v>26</v>
      </c>
    </row>
    <row r="20" spans="2:56" x14ac:dyDescent="0.25">
      <c r="C20" s="8">
        <v>6.9999000000000002</v>
      </c>
      <c r="D20" s="7" t="s">
        <v>27</v>
      </c>
      <c r="AA20" s="6">
        <v>7.0000999999999998</v>
      </c>
      <c r="AB20" s="7" t="s">
        <v>26</v>
      </c>
    </row>
    <row r="21" spans="2:56" x14ac:dyDescent="0.25">
      <c r="C21" s="2"/>
      <c r="D21" s="7"/>
      <c r="F21" s="2"/>
      <c r="AA21" s="8">
        <v>6.9999000000000002</v>
      </c>
      <c r="AB21" s="7" t="s">
        <v>27</v>
      </c>
    </row>
    <row r="22" spans="2:56" x14ac:dyDescent="0.25">
      <c r="D22" s="10"/>
      <c r="E22" s="10"/>
      <c r="G22" s="10"/>
      <c r="H22" s="10"/>
      <c r="J22" s="10"/>
      <c r="K22" s="10"/>
      <c r="M22" s="10"/>
      <c r="N22" s="10"/>
      <c r="P22" s="10"/>
      <c r="Q22" s="10"/>
      <c r="S22" s="10"/>
      <c r="T22" s="10"/>
      <c r="V22" s="10"/>
      <c r="W22" s="10"/>
      <c r="Y22" s="10"/>
      <c r="Z22" s="10"/>
      <c r="AB22" s="10"/>
      <c r="AC22" s="10"/>
      <c r="AE22" s="10"/>
      <c r="AF22" s="10"/>
      <c r="AH22" s="10"/>
      <c r="AI22" s="10"/>
      <c r="AK22" s="10"/>
      <c r="AL22" s="10"/>
      <c r="AO22" s="10"/>
      <c r="AQ22" s="10"/>
      <c r="AR22" s="10"/>
      <c r="AT22" s="10"/>
      <c r="AU22" s="10"/>
      <c r="AW22" s="10"/>
      <c r="AX22" s="10"/>
      <c r="AZ22" s="10"/>
      <c r="BA22" s="10"/>
      <c r="BC22" s="10"/>
      <c r="BD22" s="10"/>
    </row>
    <row r="24" spans="2:56" x14ac:dyDescent="0.2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2:56" x14ac:dyDescent="0.25">
      <c r="D25" s="7"/>
      <c r="E25" s="7"/>
      <c r="G25" s="7"/>
      <c r="H25" s="7"/>
      <c r="J25" s="7"/>
      <c r="K25" s="7"/>
      <c r="M25" s="7"/>
      <c r="N25" s="7"/>
      <c r="P25" s="7"/>
      <c r="Q25" s="7"/>
      <c r="S25" s="7"/>
      <c r="T25" s="7"/>
      <c r="V25" s="7"/>
      <c r="W25" s="7"/>
      <c r="Y25" s="7"/>
      <c r="Z25" s="7"/>
      <c r="AB25" s="7"/>
      <c r="AC25" s="7"/>
      <c r="AE25" s="7"/>
      <c r="AF25" s="7"/>
      <c r="AH25" s="7"/>
      <c r="AI25" s="7"/>
      <c r="AK25" s="7"/>
      <c r="AL25" s="7"/>
      <c r="AO25" s="7"/>
      <c r="AQ25" s="7"/>
      <c r="AR25" s="7"/>
      <c r="AT25" s="7"/>
      <c r="AU25" s="7"/>
      <c r="AW25" s="7"/>
      <c r="AX25" s="7"/>
      <c r="AZ25" s="7"/>
      <c r="BA25" s="7"/>
      <c r="BC25" s="7"/>
      <c r="BD25" s="7"/>
    </row>
    <row r="26" spans="2:56" x14ac:dyDescent="0.25">
      <c r="D26" s="7"/>
      <c r="G26" s="7"/>
      <c r="J26" s="7"/>
      <c r="M26" s="7"/>
      <c r="P26" s="7"/>
      <c r="S26" s="7"/>
      <c r="V26" s="7"/>
      <c r="Y26" s="7"/>
      <c r="AB26" s="7"/>
      <c r="AE26" s="7"/>
      <c r="AH26" s="7"/>
      <c r="AK26" s="7"/>
      <c r="AQ26" s="7"/>
      <c r="AT26" s="7"/>
      <c r="AW26" s="7"/>
      <c r="AZ26" s="7"/>
      <c r="BC26" s="7"/>
    </row>
    <row r="28" spans="2:56" x14ac:dyDescent="0.25">
      <c r="D28" s="4"/>
      <c r="E28" s="4"/>
      <c r="G28" s="4"/>
      <c r="H28" s="4"/>
      <c r="J28" s="4"/>
      <c r="K28" s="4"/>
      <c r="M28" s="4"/>
      <c r="N28" s="4"/>
      <c r="P28" s="4"/>
      <c r="Q28" s="4"/>
      <c r="S28" s="4"/>
      <c r="T28" s="4"/>
      <c r="V28" s="4"/>
      <c r="W28" s="4"/>
      <c r="Y28" s="4"/>
      <c r="Z28" s="4"/>
      <c r="AB28" s="4"/>
      <c r="AC28" s="4"/>
      <c r="AE28" s="4"/>
      <c r="AF28" s="4"/>
      <c r="AH28" s="4"/>
      <c r="AI28" s="4"/>
      <c r="AK28" s="4"/>
      <c r="AL28" s="4"/>
      <c r="AO28" s="4"/>
      <c r="AQ28" s="4"/>
      <c r="AR28" s="4"/>
      <c r="AT28" s="4"/>
      <c r="AU28" s="4"/>
      <c r="AW28" s="4"/>
      <c r="AX28" s="4"/>
      <c r="AZ28" s="4"/>
      <c r="BA28" s="4"/>
      <c r="BC28" s="4"/>
      <c r="BD28" s="4"/>
    </row>
    <row r="29" spans="2:56" x14ac:dyDescent="0.25">
      <c r="D29" s="5"/>
      <c r="E29" s="5"/>
      <c r="G29" s="5"/>
      <c r="H29" s="5"/>
      <c r="J29" s="5"/>
      <c r="K29" s="5"/>
      <c r="M29" s="5"/>
      <c r="N29" s="5"/>
      <c r="P29" s="5"/>
      <c r="Q29" s="5"/>
      <c r="S29" s="5"/>
      <c r="T29" s="5"/>
      <c r="V29" s="5"/>
      <c r="W29" s="5"/>
      <c r="Y29" s="5"/>
      <c r="Z29" s="5"/>
      <c r="AB29" s="5"/>
      <c r="AC29" s="5"/>
      <c r="AE29" s="5"/>
      <c r="AF29" s="5"/>
      <c r="AH29" s="5"/>
      <c r="AI29" s="5"/>
      <c r="AK29" s="5"/>
      <c r="AL29" s="5"/>
      <c r="AO29" s="5"/>
      <c r="AQ29" s="5"/>
      <c r="AR29" s="5"/>
      <c r="AT29" s="5"/>
      <c r="AU29" s="5"/>
      <c r="AW29" s="5"/>
      <c r="AX29" s="5"/>
      <c r="AZ29" s="5"/>
      <c r="BA29" s="5"/>
      <c r="BC29" s="5"/>
      <c r="BD29" s="5"/>
    </row>
    <row r="54" spans="4:56" x14ac:dyDescent="0.25">
      <c r="D54" s="11"/>
      <c r="E54" s="11"/>
      <c r="G54" s="11"/>
      <c r="H54" s="11"/>
      <c r="J54" s="11"/>
      <c r="K54" s="11"/>
      <c r="M54" s="11"/>
      <c r="N54" s="11"/>
      <c r="P54" s="11"/>
      <c r="Q54" s="11"/>
      <c r="S54" s="11"/>
      <c r="T54" s="11"/>
      <c r="V54" s="11"/>
      <c r="W54" s="11"/>
      <c r="Y54" s="11"/>
      <c r="Z54" s="11"/>
      <c r="AB54" s="11"/>
      <c r="AC54" s="11"/>
      <c r="AE54" s="11"/>
      <c r="AF54" s="11"/>
      <c r="AH54" s="11"/>
      <c r="AI54" s="11"/>
      <c r="AK54" s="11"/>
      <c r="AL54" s="11"/>
      <c r="AN54" s="11"/>
      <c r="AO54" s="11"/>
      <c r="AQ54" s="11"/>
      <c r="AR54" s="11"/>
      <c r="AT54" s="11"/>
      <c r="AU54" s="11"/>
      <c r="AW54" s="11"/>
      <c r="AX54" s="11"/>
      <c r="AZ54" s="11"/>
      <c r="BA54" s="11"/>
      <c r="BC54" s="11"/>
      <c r="BD54" s="11"/>
    </row>
    <row r="55" spans="4:56" x14ac:dyDescent="0.25">
      <c r="D55" s="10"/>
      <c r="E55" s="10"/>
      <c r="G55" s="10"/>
      <c r="H55" s="10"/>
      <c r="J55" s="10"/>
      <c r="K55" s="10"/>
      <c r="M55" s="10"/>
      <c r="N55" s="10"/>
      <c r="P55" s="10"/>
      <c r="Q55" s="10"/>
      <c r="S55" s="10"/>
      <c r="T55" s="10"/>
      <c r="V55" s="10"/>
      <c r="W55" s="10"/>
      <c r="Y55" s="10"/>
      <c r="Z55" s="10"/>
      <c r="AB55" s="10"/>
      <c r="AC55" s="10"/>
      <c r="AE55" s="10"/>
      <c r="AF55" s="10"/>
      <c r="AH55" s="10"/>
      <c r="AI55" s="10"/>
      <c r="AK55" s="10"/>
      <c r="AL55" s="10"/>
      <c r="AN55" s="10"/>
      <c r="AO55" s="10"/>
      <c r="AQ55" s="10"/>
      <c r="AR55" s="10"/>
      <c r="AT55" s="10"/>
      <c r="AU55" s="10"/>
      <c r="AW55" s="10"/>
      <c r="AX55" s="10"/>
      <c r="AZ55" s="10"/>
      <c r="BA55" s="10"/>
      <c r="BC55" s="10"/>
      <c r="BD55" s="10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</sheetData>
  <sortState xmlns:xlrd2="http://schemas.microsoft.com/office/spreadsheetml/2017/richdata2" ref="BJ4:BL13">
    <sortCondition ref="BL4:BL13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989A-AB54-4F50-AADC-461AB3F14B7C}">
  <sheetPr codeName="Sheet8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AC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44876</v>
      </c>
      <c r="D1" s="53"/>
      <c r="E1" s="54"/>
      <c r="F1" s="52">
        <f>C1+1</f>
        <v>44877</v>
      </c>
      <c r="G1" s="53"/>
      <c r="H1" s="54"/>
      <c r="I1" s="52">
        <f>F1+1</f>
        <v>44878</v>
      </c>
      <c r="J1" s="53"/>
      <c r="K1" s="54"/>
      <c r="L1" s="52">
        <f>I1+1</f>
        <v>44879</v>
      </c>
      <c r="M1" s="53"/>
      <c r="N1" s="54"/>
      <c r="O1" s="52">
        <f>L1+1</f>
        <v>44880</v>
      </c>
      <c r="P1" s="53"/>
      <c r="Q1" s="54"/>
      <c r="R1" s="52">
        <f>O1+1</f>
        <v>44881</v>
      </c>
      <c r="S1" s="53"/>
      <c r="T1" s="54"/>
      <c r="U1" s="52">
        <f>R1+1</f>
        <v>44882</v>
      </c>
      <c r="V1" s="53"/>
      <c r="W1" s="54"/>
      <c r="X1" s="52">
        <f>U1+1</f>
        <v>44883</v>
      </c>
      <c r="Y1" s="53"/>
      <c r="Z1" s="54"/>
      <c r="AA1" s="52">
        <f>X1+1</f>
        <v>44884</v>
      </c>
      <c r="AB1" s="53"/>
      <c r="AC1" s="54"/>
      <c r="AD1" s="52">
        <f>AA1+1</f>
        <v>44885</v>
      </c>
      <c r="AE1" s="53"/>
      <c r="AF1" s="54"/>
      <c r="AG1" s="52">
        <f>AD1+1</f>
        <v>44886</v>
      </c>
      <c r="AH1" s="53"/>
      <c r="AI1" s="54"/>
      <c r="AJ1" s="52">
        <f>AG1+1</f>
        <v>44887</v>
      </c>
      <c r="AK1" s="53"/>
      <c r="AL1" s="54"/>
      <c r="AM1" s="52">
        <f>AJ1+1</f>
        <v>44888</v>
      </c>
      <c r="AN1" s="53"/>
      <c r="AO1" s="54"/>
      <c r="AP1" s="52">
        <f>AM1+1</f>
        <v>44889</v>
      </c>
      <c r="AQ1" s="53"/>
      <c r="AR1" s="54"/>
      <c r="AS1" s="52">
        <f>AP1+1</f>
        <v>44890</v>
      </c>
      <c r="AT1" s="53"/>
      <c r="AU1" s="54"/>
      <c r="AV1" s="52">
        <f>AS1+1</f>
        <v>44891</v>
      </c>
      <c r="AW1" s="53"/>
      <c r="AX1" s="54"/>
      <c r="AY1" s="52">
        <f>AV1+1</f>
        <v>44892</v>
      </c>
      <c r="AZ1" s="53"/>
      <c r="BA1" s="54"/>
      <c r="BB1" s="52">
        <f>AY1+1</f>
        <v>44893</v>
      </c>
      <c r="BC1" s="53"/>
      <c r="BD1" s="54"/>
    </row>
    <row r="2" spans="1:70" x14ac:dyDescent="0.25">
      <c r="B2" s="9" t="s">
        <v>1</v>
      </c>
      <c r="C2" s="49">
        <v>510</v>
      </c>
      <c r="D2" s="50"/>
      <c r="E2" s="51"/>
      <c r="F2" s="49">
        <f>C2+1</f>
        <v>511</v>
      </c>
      <c r="G2" s="50"/>
      <c r="H2" s="51"/>
      <c r="I2" s="49">
        <f>F2+1</f>
        <v>512</v>
      </c>
      <c r="J2" s="50"/>
      <c r="K2" s="51"/>
      <c r="L2" s="49">
        <f>I2+1</f>
        <v>513</v>
      </c>
      <c r="M2" s="50"/>
      <c r="N2" s="51"/>
      <c r="O2" s="49">
        <f>L2+1</f>
        <v>514</v>
      </c>
      <c r="P2" s="50"/>
      <c r="Q2" s="51"/>
      <c r="R2" s="49">
        <f>O2+1</f>
        <v>515</v>
      </c>
      <c r="S2" s="50"/>
      <c r="T2" s="51"/>
      <c r="U2" s="49">
        <f>R2+1</f>
        <v>516</v>
      </c>
      <c r="V2" s="50"/>
      <c r="W2" s="51"/>
      <c r="X2" s="49">
        <f>U2+1</f>
        <v>517</v>
      </c>
      <c r="Y2" s="50"/>
      <c r="Z2" s="51"/>
      <c r="AA2" s="49">
        <f>X2+1</f>
        <v>518</v>
      </c>
      <c r="AB2" s="50"/>
      <c r="AC2" s="51"/>
      <c r="AD2" s="49">
        <f>AA2+1</f>
        <v>519</v>
      </c>
      <c r="AE2" s="50"/>
      <c r="AF2" s="51"/>
      <c r="AG2" s="49">
        <f>AD2+1</f>
        <v>520</v>
      </c>
      <c r="AH2" s="50"/>
      <c r="AI2" s="51"/>
      <c r="AJ2" s="49">
        <f>AG2+1</f>
        <v>521</v>
      </c>
      <c r="AK2" s="50"/>
      <c r="AL2" s="51"/>
      <c r="AM2" s="49">
        <f>AJ2+1</f>
        <v>522</v>
      </c>
      <c r="AN2" s="50"/>
      <c r="AO2" s="51"/>
      <c r="AP2" s="49">
        <f>AM2+1</f>
        <v>523</v>
      </c>
      <c r="AQ2" s="50"/>
      <c r="AR2" s="51"/>
      <c r="AS2" s="49">
        <f>AP2+1</f>
        <v>524</v>
      </c>
      <c r="AT2" s="50"/>
      <c r="AU2" s="51"/>
      <c r="AV2" s="49">
        <f>AS2+1</f>
        <v>525</v>
      </c>
      <c r="AW2" s="50"/>
      <c r="AX2" s="51"/>
      <c r="AY2" s="49">
        <f>AV2+1</f>
        <v>526</v>
      </c>
      <c r="AZ2" s="50"/>
      <c r="BA2" s="51"/>
      <c r="BB2" s="49">
        <f>AY2+1</f>
        <v>527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3</v>
      </c>
      <c r="G4" s="18">
        <f>IF(F4&lt;&gt;"",F4-$B$1,"")</f>
        <v>-1</v>
      </c>
      <c r="H4" s="13">
        <f>IF(F4&lt;&gt;"",E4+G4,"")</f>
        <v>-2</v>
      </c>
      <c r="I4" s="39">
        <v>5</v>
      </c>
      <c r="J4" s="18">
        <f>IF(I4&lt;&gt;"",I4-$B$1,"")</f>
        <v>1</v>
      </c>
      <c r="K4" s="13">
        <f>IF(I4&lt;&gt;"",H4+J4,"")</f>
        <v>-1</v>
      </c>
      <c r="L4" s="39">
        <v>3</v>
      </c>
      <c r="M4" s="18">
        <f>IF(L4&lt;&gt;"",L4-$B$1,"")</f>
        <v>-1</v>
      </c>
      <c r="N4" s="13">
        <f>IF(L4&lt;&gt;"",K4+M4,"")</f>
        <v>-2</v>
      </c>
      <c r="O4" s="39">
        <v>4</v>
      </c>
      <c r="P4" s="18">
        <f>IF(O4&lt;&gt;"",O4-$B$1,"")</f>
        <v>0</v>
      </c>
      <c r="Q4" s="13">
        <f>IF(O4&lt;&gt;"",N4+P4,"")</f>
        <v>-2</v>
      </c>
      <c r="R4" s="39">
        <v>5</v>
      </c>
      <c r="S4" s="18">
        <f>IF(R4&lt;&gt;"",R4-$B$1,"")</f>
        <v>1</v>
      </c>
      <c r="T4" s="13">
        <f>IF(R4&lt;&gt;"",Q4+S4,"")</f>
        <v>-1</v>
      </c>
      <c r="U4" s="39">
        <v>3</v>
      </c>
      <c r="V4" s="18">
        <f>IF(U4&lt;&gt;"",U4-$B$1,"")</f>
        <v>-1</v>
      </c>
      <c r="W4" s="13">
        <f>IF(U4&lt;&gt;"",T4+V4,"")</f>
        <v>-2</v>
      </c>
      <c r="X4" s="6">
        <v>7.0000999999999998</v>
      </c>
      <c r="Y4" s="18">
        <f>IF(X4&lt;&gt;"",X4-$B$1,"")</f>
        <v>3.0000999999999998</v>
      </c>
      <c r="Z4" s="13">
        <f>IF(X4&lt;&gt;"",W4+Y4,"")</f>
        <v>1.0000999999999998</v>
      </c>
      <c r="AA4" s="39">
        <v>4</v>
      </c>
      <c r="AB4" s="18">
        <f>IF(AA4&lt;&gt;"",AA4-$B$1,"")</f>
        <v>0</v>
      </c>
      <c r="AC4" s="13">
        <f>IF(AA4&lt;&gt;"",Z4+AB4,"")</f>
        <v>1.0000999999999998</v>
      </c>
      <c r="AD4" s="39">
        <v>4</v>
      </c>
      <c r="AE4" s="18">
        <f>IF(AD4&lt;&gt;"",AD4-$B$1,"")</f>
        <v>0</v>
      </c>
      <c r="AF4" s="13">
        <f>IF(AD4&lt;&gt;"",AC4+AE4,"")</f>
        <v>1.0000999999999998</v>
      </c>
      <c r="AG4" s="39">
        <v>4</v>
      </c>
      <c r="AH4" s="18">
        <f>IF(AG4&lt;&gt;"",AG4-$B$1,"")</f>
        <v>0</v>
      </c>
      <c r="AI4" s="13">
        <f>IF(AG4&lt;&gt;"",AF4+AH4,"")</f>
        <v>1.0000999999999998</v>
      </c>
      <c r="AJ4" s="39">
        <v>4</v>
      </c>
      <c r="AK4" s="18">
        <f>IF(AJ4&lt;&gt;"",AJ4-$B$1,"")</f>
        <v>0</v>
      </c>
      <c r="AL4" s="13">
        <f>IF(AJ4&lt;&gt;"",AI4+AK4,"")</f>
        <v>1.0000999999999998</v>
      </c>
      <c r="AM4" s="39">
        <v>3</v>
      </c>
      <c r="AN4" s="18">
        <f>IF(AM4&lt;&gt;"",AM4-$B$1,"")</f>
        <v>-1</v>
      </c>
      <c r="AO4" s="13">
        <f>IF(AM4&lt;&gt;"",AL4+AN4,"")</f>
        <v>9.9999999999766942E-5</v>
      </c>
      <c r="AP4" s="39">
        <v>3</v>
      </c>
      <c r="AQ4" s="18">
        <f>IF(AP4&lt;&gt;"",AP4-$B$1,"")</f>
        <v>-1</v>
      </c>
      <c r="AR4" s="13">
        <f>IF(AP4&lt;&gt;"",AO4+AQ4,"")</f>
        <v>-0.99990000000000023</v>
      </c>
      <c r="AS4" s="39">
        <v>4</v>
      </c>
      <c r="AT4" s="18">
        <f>IF(AS4&lt;&gt;"",AS4-$B$1,"")</f>
        <v>0</v>
      </c>
      <c r="AU4" s="13">
        <f>IF(AS4&lt;&gt;"",AR4+AT4,"")</f>
        <v>-0.99990000000000023</v>
      </c>
      <c r="AV4" s="39">
        <v>4</v>
      </c>
      <c r="AW4" s="18">
        <f>IF(AV4&lt;&gt;"",AV4-$B$1,"")</f>
        <v>0</v>
      </c>
      <c r="AX4" s="13">
        <f>IF(AV4&lt;&gt;"",AU4+AW4,"")</f>
        <v>-0.99990000000000023</v>
      </c>
      <c r="AY4" s="39">
        <v>3</v>
      </c>
      <c r="AZ4" s="18">
        <f>IF(AY4&lt;&gt;"",AY4-$B$1,"")</f>
        <v>-1</v>
      </c>
      <c r="BA4" s="13">
        <f>IF(AY4&lt;&gt;"",AX4+AZ4,"")</f>
        <v>-1.9999000000000002</v>
      </c>
      <c r="BB4" s="39">
        <v>3</v>
      </c>
      <c r="BC4" s="18">
        <f>IF(BB4&lt;&gt;"",BB4-$B$1,"")</f>
        <v>-1</v>
      </c>
      <c r="BD4" s="13">
        <f>IF(BB4&lt;&gt;"",BA4+BC4,"")</f>
        <v>-2.9999000000000002</v>
      </c>
      <c r="BF4" t="s">
        <v>9</v>
      </c>
      <c r="BG4" t="s">
        <v>10</v>
      </c>
      <c r="BH4" s="42">
        <v>-2.9999000000000002</v>
      </c>
      <c r="BI4">
        <v>1</v>
      </c>
      <c r="BJ4" s="37" t="s">
        <v>21</v>
      </c>
      <c r="BK4" s="37" t="s">
        <v>31</v>
      </c>
      <c r="BL4" s="37">
        <v>-17</v>
      </c>
      <c r="BO4" t="s">
        <v>9</v>
      </c>
      <c r="BP4" t="s">
        <v>10</v>
      </c>
      <c r="BQ4">
        <v>4</v>
      </c>
      <c r="BR4" s="40">
        <f>BH4-BQ4</f>
        <v>-6.9999000000000002</v>
      </c>
    </row>
    <row r="5" spans="1:70" x14ac:dyDescent="0.2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5</v>
      </c>
      <c r="J5" s="2">
        <f t="shared" ref="J5:J17" si="4">IF(I5&lt;&gt;"",I5-$B$1,"")</f>
        <v>1</v>
      </c>
      <c r="K5" s="13">
        <f t="shared" ref="K5:K17" si="5">IF(I5&lt;&gt;"",H5+J5,"")</f>
        <v>1</v>
      </c>
      <c r="L5" s="17">
        <v>5</v>
      </c>
      <c r="M5" s="2">
        <f t="shared" ref="M5:M17" si="6">IF(L5&lt;&gt;"",L5-$B$1,"")</f>
        <v>1</v>
      </c>
      <c r="N5" s="13">
        <f t="shared" ref="N5:N17" si="7">IF(L5&lt;&gt;"",K5+M5,"")</f>
        <v>2</v>
      </c>
      <c r="O5" s="16">
        <v>6</v>
      </c>
      <c r="P5" s="2">
        <f t="shared" ref="P5:P17" si="8">IF(O5&lt;&gt;"",O5-$B$1,"")</f>
        <v>2</v>
      </c>
      <c r="Q5" s="13">
        <f t="shared" ref="Q5:Q17" si="9">IF(O5&lt;&gt;"",N5+P5,"")</f>
        <v>4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4</v>
      </c>
      <c r="U5" s="17">
        <v>4</v>
      </c>
      <c r="V5" s="2">
        <f t="shared" ref="V5:V17" si="12">IF(U5&lt;&gt;"",U5-$B$1,"")</f>
        <v>0</v>
      </c>
      <c r="W5" s="13">
        <f t="shared" ref="W5:W17" si="13">IF(U5&lt;&gt;"",T5+V5,"")</f>
        <v>4</v>
      </c>
      <c r="X5" s="17">
        <v>3</v>
      </c>
      <c r="Y5" s="2">
        <f t="shared" ref="Y5:Y17" si="14">IF(X5&lt;&gt;"",X5-$B$1,"")</f>
        <v>-1</v>
      </c>
      <c r="Z5" s="13">
        <f t="shared" ref="Z5:Z17" si="15">IF(X5&lt;&gt;"",W5+Y5,"")</f>
        <v>3</v>
      </c>
      <c r="AA5" s="17">
        <v>3</v>
      </c>
      <c r="AB5" s="2">
        <f t="shared" ref="AB5:AB17" si="16">IF(AA5&lt;&gt;"",AA5-$B$1,"")</f>
        <v>-1</v>
      </c>
      <c r="AC5" s="13">
        <f t="shared" ref="AC5:AC17" si="17">IF(AA5&lt;&gt;"",Z5+AB5,"")</f>
        <v>2</v>
      </c>
      <c r="AD5" s="17">
        <v>3</v>
      </c>
      <c r="AE5" s="2">
        <f t="shared" ref="AE5:AE17" si="18">IF(AD5&lt;&gt;"",AD5-$B$1,"")</f>
        <v>-1</v>
      </c>
      <c r="AF5" s="13">
        <f t="shared" ref="AF5:AF16" si="19">IF(AD5&lt;&gt;"",AC5+AE5,"")</f>
        <v>1</v>
      </c>
      <c r="AG5" s="17">
        <v>4</v>
      </c>
      <c r="AH5" s="2">
        <f t="shared" ref="AH5:AH17" si="20">IF(AG5&lt;&gt;"",AG5-$B$1,"")</f>
        <v>0</v>
      </c>
      <c r="AI5" s="13">
        <f t="shared" ref="AI5:AI17" si="21">IF(AG5&lt;&gt;"",AF5+AH5,"")</f>
        <v>1</v>
      </c>
      <c r="AJ5" s="17">
        <v>4</v>
      </c>
      <c r="AK5" s="2">
        <f t="shared" ref="AK5:AK17" si="22">IF(AJ5&lt;&gt;"",AJ5-$B$1,"")</f>
        <v>0</v>
      </c>
      <c r="AL5" s="13">
        <f t="shared" ref="AL5:AL17" si="23">IF(AJ5&lt;&gt;"",AI5+AK5,"")</f>
        <v>1</v>
      </c>
      <c r="AM5" s="17">
        <v>2</v>
      </c>
      <c r="AN5" s="2">
        <f t="shared" ref="AN5:AN17" si="24">IF(AM5&lt;&gt;"",AM5-$B$1,"")</f>
        <v>-2</v>
      </c>
      <c r="AO5" s="13">
        <f t="shared" ref="AO5:AO17" si="25">IF(AM5&lt;&gt;"",AL5+AN5,"")</f>
        <v>-1</v>
      </c>
      <c r="AP5" s="17">
        <v>6</v>
      </c>
      <c r="AQ5" s="2">
        <f t="shared" ref="AQ5:AQ17" si="26">IF(AP5&lt;&gt;"",AP5-$B$1,"")</f>
        <v>2</v>
      </c>
      <c r="AR5" s="13">
        <f t="shared" ref="AR5:AR17" si="27">IF(AP5&lt;&gt;"",AO5+AQ5,"")</f>
        <v>1</v>
      </c>
      <c r="AS5" s="17">
        <v>3</v>
      </c>
      <c r="AT5" s="2">
        <f t="shared" ref="AT5:AT16" si="28">IF(AS5&lt;&gt;"",AS5-$B$1,"")</f>
        <v>-1</v>
      </c>
      <c r="AU5" s="13">
        <f t="shared" ref="AU5:AU16" si="29">IF(AS5&lt;&gt;"",AR5+AT5,"")</f>
        <v>0</v>
      </c>
      <c r="AV5" s="17">
        <v>4</v>
      </c>
      <c r="AW5" s="2">
        <f t="shared" ref="AW5:AW17" si="30">IF(AV5&lt;&gt;"",AV5-$B$1,"")</f>
        <v>0</v>
      </c>
      <c r="AX5" s="13">
        <f t="shared" ref="AX5:AX17" si="31">IF(AV5&lt;&gt;"",AU5+AW5,"")</f>
        <v>0</v>
      </c>
      <c r="AY5" s="17">
        <v>3</v>
      </c>
      <c r="AZ5" s="2">
        <f t="shared" ref="AZ5:AZ17" si="32">IF(AY5&lt;&gt;"",AY5-$B$1,"")</f>
        <v>-1</v>
      </c>
      <c r="BA5" s="13">
        <f t="shared" ref="BA5:BA17" si="33">IF(AY5&lt;&gt;"",AX5+AZ5,"")</f>
        <v>-1</v>
      </c>
      <c r="BB5" s="17">
        <v>4</v>
      </c>
      <c r="BC5" s="2">
        <f t="shared" ref="BC5:BC17" si="34">IF(BB5&lt;&gt;"",BB5-$B$1,"")</f>
        <v>0</v>
      </c>
      <c r="BD5" s="13">
        <f t="shared" ref="BD5:BD17" si="35">IF(BB5&lt;&gt;"",BA5+BC5,"")</f>
        <v>-1</v>
      </c>
      <c r="BF5" t="s">
        <v>11</v>
      </c>
      <c r="BG5" t="s">
        <v>12</v>
      </c>
      <c r="BH5" s="42">
        <v>-1</v>
      </c>
      <c r="BI5">
        <v>2</v>
      </c>
      <c r="BJ5" s="37" t="s">
        <v>29</v>
      </c>
      <c r="BK5" s="37" t="s">
        <v>30</v>
      </c>
      <c r="BL5" s="41">
        <v>-14.9999</v>
      </c>
      <c r="BO5" t="s">
        <v>11</v>
      </c>
      <c r="BP5" t="s">
        <v>12</v>
      </c>
      <c r="BQ5">
        <v>13</v>
      </c>
      <c r="BR5" s="40">
        <f t="shared" ref="BR5:BR17" si="36">BH5-BQ5</f>
        <v>-14</v>
      </c>
    </row>
    <row r="6" spans="1:70" x14ac:dyDescent="0.2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3</v>
      </c>
      <c r="J6" s="2">
        <f t="shared" si="4"/>
        <v>-1</v>
      </c>
      <c r="K6" s="13">
        <f t="shared" si="5"/>
        <v>-2</v>
      </c>
      <c r="L6" s="17">
        <v>2</v>
      </c>
      <c r="M6" s="2">
        <f t="shared" si="6"/>
        <v>-2</v>
      </c>
      <c r="N6" s="13">
        <f t="shared" si="7"/>
        <v>-4</v>
      </c>
      <c r="O6" s="16">
        <v>3</v>
      </c>
      <c r="P6" s="2">
        <f t="shared" si="8"/>
        <v>-1</v>
      </c>
      <c r="Q6" s="13">
        <f t="shared" si="9"/>
        <v>-5</v>
      </c>
      <c r="R6" s="17">
        <v>6</v>
      </c>
      <c r="S6" s="2">
        <f t="shared" si="10"/>
        <v>2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6">
        <v>4</v>
      </c>
      <c r="Y6" s="2">
        <f t="shared" si="14"/>
        <v>0</v>
      </c>
      <c r="Z6" s="13">
        <f t="shared" si="15"/>
        <v>-4</v>
      </c>
      <c r="AA6" s="17">
        <v>3</v>
      </c>
      <c r="AB6" s="2">
        <f t="shared" si="16"/>
        <v>-1</v>
      </c>
      <c r="AC6" s="13">
        <f t="shared" si="17"/>
        <v>-5</v>
      </c>
      <c r="AD6" s="17">
        <v>6</v>
      </c>
      <c r="AE6" s="2">
        <f t="shared" si="18"/>
        <v>2</v>
      </c>
      <c r="AF6" s="13">
        <f t="shared" si="19"/>
        <v>-3</v>
      </c>
      <c r="AG6" s="17">
        <v>5</v>
      </c>
      <c r="AH6" s="2">
        <f t="shared" si="20"/>
        <v>1</v>
      </c>
      <c r="AI6" s="13">
        <f t="shared" si="21"/>
        <v>-2</v>
      </c>
      <c r="AJ6" s="17">
        <v>2</v>
      </c>
      <c r="AK6" s="2">
        <f t="shared" si="22"/>
        <v>-2</v>
      </c>
      <c r="AL6" s="13">
        <f t="shared" si="23"/>
        <v>-4</v>
      </c>
      <c r="AM6" s="17">
        <v>3</v>
      </c>
      <c r="AN6" s="2">
        <f t="shared" si="24"/>
        <v>-1</v>
      </c>
      <c r="AO6" s="13">
        <f t="shared" si="25"/>
        <v>-5</v>
      </c>
      <c r="AP6" s="17">
        <v>3</v>
      </c>
      <c r="AQ6" s="2">
        <f t="shared" si="26"/>
        <v>-1</v>
      </c>
      <c r="AR6" s="13">
        <f t="shared" si="27"/>
        <v>-6</v>
      </c>
      <c r="AS6" s="17">
        <v>3</v>
      </c>
      <c r="AT6" s="2">
        <f t="shared" si="28"/>
        <v>-1</v>
      </c>
      <c r="AU6" s="13">
        <f t="shared" si="29"/>
        <v>-7</v>
      </c>
      <c r="AV6" s="17">
        <v>2</v>
      </c>
      <c r="AW6" s="2">
        <f t="shared" si="30"/>
        <v>-2</v>
      </c>
      <c r="AX6" s="13">
        <f t="shared" si="31"/>
        <v>-9</v>
      </c>
      <c r="AY6" s="17">
        <v>6</v>
      </c>
      <c r="AZ6" s="2">
        <f t="shared" si="32"/>
        <v>2</v>
      </c>
      <c r="BA6" s="13">
        <f t="shared" si="33"/>
        <v>-7</v>
      </c>
      <c r="BB6" s="17">
        <v>5</v>
      </c>
      <c r="BC6" s="2">
        <f t="shared" si="34"/>
        <v>1</v>
      </c>
      <c r="BD6" s="13">
        <f t="shared" si="35"/>
        <v>-6</v>
      </c>
      <c r="BF6" t="s">
        <v>13</v>
      </c>
      <c r="BG6" t="s">
        <v>14</v>
      </c>
      <c r="BH6" s="42">
        <v>-6</v>
      </c>
      <c r="BI6">
        <v>3</v>
      </c>
      <c r="BJ6" s="37" t="s">
        <v>13</v>
      </c>
      <c r="BK6" s="37" t="s">
        <v>14</v>
      </c>
      <c r="BL6" s="41">
        <v>-6</v>
      </c>
      <c r="BO6" t="s">
        <v>13</v>
      </c>
      <c r="BP6" t="s">
        <v>14</v>
      </c>
      <c r="BQ6">
        <v>-5</v>
      </c>
      <c r="BR6" s="40">
        <f t="shared" si="36"/>
        <v>-1</v>
      </c>
    </row>
    <row r="7" spans="1:70" x14ac:dyDescent="0.2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3</v>
      </c>
      <c r="M7" s="2">
        <f t="shared" si="6"/>
        <v>-1</v>
      </c>
      <c r="N7" s="13">
        <f t="shared" si="7"/>
        <v>-2</v>
      </c>
      <c r="O7" s="16">
        <v>4</v>
      </c>
      <c r="P7" s="2">
        <f t="shared" si="8"/>
        <v>0</v>
      </c>
      <c r="Q7" s="13">
        <f t="shared" si="9"/>
        <v>-2</v>
      </c>
      <c r="R7" s="17">
        <v>3</v>
      </c>
      <c r="S7" s="2">
        <f t="shared" si="10"/>
        <v>-1</v>
      </c>
      <c r="T7" s="13">
        <f t="shared" si="11"/>
        <v>-3</v>
      </c>
      <c r="U7" s="6">
        <v>7.0000999999999998</v>
      </c>
      <c r="V7" s="2">
        <f t="shared" si="12"/>
        <v>3.0000999999999998</v>
      </c>
      <c r="W7" s="13">
        <f t="shared" si="13"/>
        <v>9.9999999999766942E-5</v>
      </c>
      <c r="X7" s="16">
        <v>5</v>
      </c>
      <c r="Y7" s="2">
        <f t="shared" si="14"/>
        <v>1</v>
      </c>
      <c r="Z7" s="13">
        <f t="shared" si="15"/>
        <v>1.0000999999999998</v>
      </c>
      <c r="AA7" s="16">
        <v>4</v>
      </c>
      <c r="AB7" s="2">
        <f t="shared" si="16"/>
        <v>0</v>
      </c>
      <c r="AC7" s="13">
        <f t="shared" si="17"/>
        <v>1.0000999999999998</v>
      </c>
      <c r="AD7" s="16">
        <v>6</v>
      </c>
      <c r="AE7" s="2">
        <f>IF(AD7&lt;&gt;"",AD7-$B$1,"")</f>
        <v>2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7">
        <v>3</v>
      </c>
      <c r="AK7" s="2">
        <f t="shared" si="22"/>
        <v>-1</v>
      </c>
      <c r="AL7" s="13">
        <f t="shared" si="23"/>
        <v>5</v>
      </c>
      <c r="AM7" s="17">
        <v>2</v>
      </c>
      <c r="AN7" s="2">
        <f t="shared" si="24"/>
        <v>-2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5</v>
      </c>
      <c r="AW7" s="2">
        <f t="shared" si="30"/>
        <v>1</v>
      </c>
      <c r="AX7" s="13">
        <f t="shared" si="31"/>
        <v>5</v>
      </c>
      <c r="AY7" s="17">
        <v>5</v>
      </c>
      <c r="AZ7" s="2">
        <f t="shared" si="32"/>
        <v>1</v>
      </c>
      <c r="BA7" s="13">
        <f t="shared" si="33"/>
        <v>6</v>
      </c>
      <c r="BB7" s="17">
        <v>3</v>
      </c>
      <c r="BC7" s="2">
        <f t="shared" si="34"/>
        <v>-1</v>
      </c>
      <c r="BD7" s="13">
        <f t="shared" si="35"/>
        <v>5</v>
      </c>
      <c r="BF7" t="s">
        <v>17</v>
      </c>
      <c r="BG7" t="s">
        <v>18</v>
      </c>
      <c r="BH7" s="42">
        <v>5</v>
      </c>
      <c r="BI7">
        <v>4</v>
      </c>
      <c r="BJ7" s="37" t="s">
        <v>23</v>
      </c>
      <c r="BK7" s="37" t="s">
        <v>24</v>
      </c>
      <c r="BL7" s="37">
        <v>-6</v>
      </c>
      <c r="BO7" t="s">
        <v>17</v>
      </c>
      <c r="BP7" t="s">
        <v>18</v>
      </c>
      <c r="BQ7">
        <v>7</v>
      </c>
      <c r="BR7" s="40">
        <f t="shared" si="36"/>
        <v>-2</v>
      </c>
    </row>
    <row r="8" spans="1:70" x14ac:dyDescent="0.25">
      <c r="A8" t="s">
        <v>32</v>
      </c>
      <c r="B8" t="s">
        <v>33</v>
      </c>
      <c r="C8" s="16">
        <v>4</v>
      </c>
      <c r="D8" s="2">
        <f t="shared" si="0"/>
        <v>0</v>
      </c>
      <c r="E8" s="13">
        <f t="shared" si="1"/>
        <v>0</v>
      </c>
      <c r="F8" s="17"/>
      <c r="G8" s="2" t="str">
        <f t="shared" si="2"/>
        <v/>
      </c>
      <c r="H8" s="13" t="str">
        <f t="shared" si="3"/>
        <v/>
      </c>
      <c r="I8" s="17"/>
      <c r="J8" s="2" t="str">
        <f t="shared" si="4"/>
        <v/>
      </c>
      <c r="K8" s="13" t="str">
        <f t="shared" si="5"/>
        <v/>
      </c>
      <c r="L8" s="17"/>
      <c r="M8" s="2" t="str">
        <f t="shared" si="6"/>
        <v/>
      </c>
      <c r="N8" s="13" t="str">
        <f t="shared" si="7"/>
        <v/>
      </c>
      <c r="O8" s="17"/>
      <c r="P8" s="2" t="str">
        <f t="shared" si="8"/>
        <v/>
      </c>
      <c r="Q8" s="13" t="str">
        <f t="shared" si="9"/>
        <v/>
      </c>
      <c r="R8" s="17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29"/>
        <v/>
      </c>
      <c r="AV8" s="16"/>
      <c r="AW8" s="2" t="str">
        <f t="shared" si="30"/>
        <v/>
      </c>
      <c r="AX8" s="13" t="str">
        <f t="shared" si="31"/>
        <v/>
      </c>
      <c r="AY8" s="16"/>
      <c r="AZ8" s="2" t="str">
        <f t="shared" si="32"/>
        <v/>
      </c>
      <c r="BA8" s="13" t="str">
        <f t="shared" si="33"/>
        <v/>
      </c>
      <c r="BB8" s="16"/>
      <c r="BC8" s="2" t="str">
        <f t="shared" si="34"/>
        <v/>
      </c>
      <c r="BD8" s="13" t="str">
        <f t="shared" si="35"/>
        <v/>
      </c>
      <c r="BH8" s="42" t="s">
        <v>28</v>
      </c>
      <c r="BI8">
        <v>5</v>
      </c>
      <c r="BJ8" s="37" t="s">
        <v>15</v>
      </c>
      <c r="BK8" s="37" t="s">
        <v>16</v>
      </c>
      <c r="BL8" s="41">
        <v>-5.9999000000000002</v>
      </c>
      <c r="BR8" s="40"/>
    </row>
    <row r="9" spans="1:70" x14ac:dyDescent="0.2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7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29"/>
        <v/>
      </c>
      <c r="AV9" s="16"/>
      <c r="AW9" s="2" t="str">
        <f t="shared" si="30"/>
        <v/>
      </c>
      <c r="AX9" s="13" t="str">
        <f t="shared" si="31"/>
        <v/>
      </c>
      <c r="AY9" s="16"/>
      <c r="AZ9" s="2" t="str">
        <f t="shared" si="32"/>
        <v/>
      </c>
      <c r="BA9" s="13" t="str">
        <f t="shared" si="33"/>
        <v/>
      </c>
      <c r="BB9" s="16"/>
      <c r="BC9" s="2" t="str">
        <f t="shared" si="34"/>
        <v/>
      </c>
      <c r="BD9" s="13" t="str">
        <f t="shared" si="35"/>
        <v/>
      </c>
      <c r="BH9" s="42" t="s">
        <v>28</v>
      </c>
      <c r="BI9">
        <v>6</v>
      </c>
      <c r="BJ9" s="37" t="s">
        <v>9</v>
      </c>
      <c r="BK9" s="37" t="s">
        <v>10</v>
      </c>
      <c r="BL9" s="41">
        <v>-2.9999000000000002</v>
      </c>
      <c r="BR9" s="40"/>
    </row>
    <row r="10" spans="1:70" x14ac:dyDescent="0.25">
      <c r="A10" t="s">
        <v>15</v>
      </c>
      <c r="B10" t="s">
        <v>16</v>
      </c>
      <c r="C10" s="16">
        <v>3</v>
      </c>
      <c r="D10" s="2">
        <f t="shared" si="0"/>
        <v>-1</v>
      </c>
      <c r="E10" s="13">
        <f t="shared" si="1"/>
        <v>-1</v>
      </c>
      <c r="F10" s="16">
        <v>3</v>
      </c>
      <c r="G10" s="2">
        <f t="shared" si="2"/>
        <v>-1</v>
      </c>
      <c r="H10" s="13">
        <f t="shared" si="3"/>
        <v>-2</v>
      </c>
      <c r="I10" s="16">
        <v>2</v>
      </c>
      <c r="J10" s="2">
        <f t="shared" si="4"/>
        <v>-2</v>
      </c>
      <c r="K10" s="13">
        <f t="shared" si="5"/>
        <v>-4</v>
      </c>
      <c r="L10" s="16">
        <v>4</v>
      </c>
      <c r="M10" s="2">
        <f t="shared" si="6"/>
        <v>0</v>
      </c>
      <c r="N10" s="13">
        <f t="shared" si="7"/>
        <v>-4</v>
      </c>
      <c r="O10" s="16">
        <v>2</v>
      </c>
      <c r="P10" s="2">
        <f t="shared" si="8"/>
        <v>-2</v>
      </c>
      <c r="Q10" s="13">
        <f t="shared" si="9"/>
        <v>-6</v>
      </c>
      <c r="R10" s="17">
        <v>4</v>
      </c>
      <c r="S10" s="2">
        <f t="shared" si="10"/>
        <v>0</v>
      </c>
      <c r="T10" s="13">
        <f t="shared" si="11"/>
        <v>-6</v>
      </c>
      <c r="U10" s="16">
        <v>4</v>
      </c>
      <c r="V10" s="2">
        <f t="shared" si="12"/>
        <v>0</v>
      </c>
      <c r="W10" s="13">
        <f t="shared" si="13"/>
        <v>-6</v>
      </c>
      <c r="X10" s="6">
        <v>7.0000999999999998</v>
      </c>
      <c r="Y10" s="2">
        <f t="shared" si="14"/>
        <v>3.0000999999999998</v>
      </c>
      <c r="Z10" s="13">
        <f t="shared" si="15"/>
        <v>-2.9999000000000002</v>
      </c>
      <c r="AA10" s="16">
        <v>4</v>
      </c>
      <c r="AB10" s="2">
        <f t="shared" si="16"/>
        <v>0</v>
      </c>
      <c r="AC10" s="13">
        <f t="shared" si="17"/>
        <v>-2.9999000000000002</v>
      </c>
      <c r="AD10" s="16">
        <v>6</v>
      </c>
      <c r="AE10" s="2">
        <f t="shared" si="18"/>
        <v>2</v>
      </c>
      <c r="AF10" s="13">
        <f t="shared" si="19"/>
        <v>-0.99990000000000023</v>
      </c>
      <c r="AG10" s="16">
        <v>4</v>
      </c>
      <c r="AH10" s="2">
        <f t="shared" si="20"/>
        <v>0</v>
      </c>
      <c r="AI10" s="13">
        <f t="shared" si="21"/>
        <v>-0.99990000000000023</v>
      </c>
      <c r="AJ10" s="16">
        <v>4</v>
      </c>
      <c r="AK10" s="2">
        <f t="shared" si="22"/>
        <v>0</v>
      </c>
      <c r="AL10" s="13">
        <f t="shared" si="23"/>
        <v>-0.99990000000000023</v>
      </c>
      <c r="AM10" s="16">
        <v>2</v>
      </c>
      <c r="AN10" s="2">
        <f t="shared" si="24"/>
        <v>-2</v>
      </c>
      <c r="AO10" s="13">
        <f t="shared" si="25"/>
        <v>-2.9999000000000002</v>
      </c>
      <c r="AP10" s="16">
        <v>4</v>
      </c>
      <c r="AQ10" s="2">
        <f t="shared" si="26"/>
        <v>0</v>
      </c>
      <c r="AR10" s="13">
        <f t="shared" si="27"/>
        <v>-2.9999000000000002</v>
      </c>
      <c r="AS10" s="16">
        <v>3</v>
      </c>
      <c r="AT10" s="2">
        <f t="shared" si="28"/>
        <v>-1</v>
      </c>
      <c r="AU10" s="13">
        <f t="shared" si="29"/>
        <v>-3.9999000000000002</v>
      </c>
      <c r="AV10" s="16">
        <v>4</v>
      </c>
      <c r="AW10" s="2">
        <f t="shared" si="30"/>
        <v>0</v>
      </c>
      <c r="AX10" s="13">
        <f t="shared" si="31"/>
        <v>-3.9999000000000002</v>
      </c>
      <c r="AY10" s="16">
        <v>4</v>
      </c>
      <c r="AZ10" s="2">
        <f t="shared" si="32"/>
        <v>0</v>
      </c>
      <c r="BA10" s="13">
        <f t="shared" si="33"/>
        <v>-3.9999000000000002</v>
      </c>
      <c r="BB10" s="16">
        <v>2</v>
      </c>
      <c r="BC10" s="2">
        <f t="shared" si="34"/>
        <v>-2</v>
      </c>
      <c r="BD10" s="13">
        <f t="shared" si="35"/>
        <v>-5.9999000000000002</v>
      </c>
      <c r="BF10" t="s">
        <v>15</v>
      </c>
      <c r="BG10" t="s">
        <v>16</v>
      </c>
      <c r="BH10" s="42">
        <v>-5.9999000000000002</v>
      </c>
      <c r="BI10">
        <v>7</v>
      </c>
      <c r="BJ10" s="37" t="s">
        <v>11</v>
      </c>
      <c r="BK10" s="37" t="s">
        <v>12</v>
      </c>
      <c r="BL10" s="41">
        <v>-1</v>
      </c>
      <c r="BO10" t="s">
        <v>15</v>
      </c>
      <c r="BP10" t="s">
        <v>16</v>
      </c>
      <c r="BQ10">
        <v>10</v>
      </c>
      <c r="BR10" s="40">
        <f t="shared" si="36"/>
        <v>-15.9999</v>
      </c>
    </row>
    <row r="11" spans="1:70" x14ac:dyDescent="0.2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6">
        <v>3</v>
      </c>
      <c r="G11" s="2">
        <f t="shared" si="2"/>
        <v>-1</v>
      </c>
      <c r="H11" s="13">
        <f t="shared" si="3"/>
        <v>-2</v>
      </c>
      <c r="I11" s="16">
        <v>3</v>
      </c>
      <c r="J11" s="2">
        <f t="shared" si="4"/>
        <v>-1</v>
      </c>
      <c r="K11" s="13">
        <f t="shared" si="5"/>
        <v>-3</v>
      </c>
      <c r="L11" s="16">
        <v>3</v>
      </c>
      <c r="M11" s="2">
        <f t="shared" si="6"/>
        <v>-1</v>
      </c>
      <c r="N11" s="13">
        <f t="shared" si="7"/>
        <v>-4</v>
      </c>
      <c r="O11" s="16">
        <v>3</v>
      </c>
      <c r="P11" s="2">
        <f t="shared" si="8"/>
        <v>-1</v>
      </c>
      <c r="Q11" s="13">
        <f t="shared" si="9"/>
        <v>-5</v>
      </c>
      <c r="R11" s="17">
        <v>4</v>
      </c>
      <c r="S11" s="2">
        <f t="shared" si="10"/>
        <v>0</v>
      </c>
      <c r="T11" s="13">
        <f t="shared" si="11"/>
        <v>-5</v>
      </c>
      <c r="U11" s="16">
        <v>3</v>
      </c>
      <c r="V11" s="2">
        <f t="shared" si="12"/>
        <v>-1</v>
      </c>
      <c r="W11" s="13">
        <f t="shared" si="13"/>
        <v>-6</v>
      </c>
      <c r="X11" s="16">
        <v>3</v>
      </c>
      <c r="Y11" s="2">
        <f t="shared" si="14"/>
        <v>-1</v>
      </c>
      <c r="Z11" s="13">
        <f t="shared" si="15"/>
        <v>-7</v>
      </c>
      <c r="AA11" s="16">
        <v>3</v>
      </c>
      <c r="AB11" s="2">
        <f t="shared" si="16"/>
        <v>-1</v>
      </c>
      <c r="AC11" s="13">
        <f t="shared" si="17"/>
        <v>-8</v>
      </c>
      <c r="AD11" s="16">
        <v>3</v>
      </c>
      <c r="AE11" s="2">
        <f t="shared" si="18"/>
        <v>-1</v>
      </c>
      <c r="AF11" s="13">
        <f t="shared" si="19"/>
        <v>-9</v>
      </c>
      <c r="AG11" s="6">
        <v>7.0000999999999998</v>
      </c>
      <c r="AH11" s="2">
        <f t="shared" si="20"/>
        <v>3.0000999999999998</v>
      </c>
      <c r="AI11" s="13">
        <f t="shared" si="21"/>
        <v>-5.9999000000000002</v>
      </c>
      <c r="AJ11" s="16">
        <v>2</v>
      </c>
      <c r="AK11" s="2">
        <f t="shared" si="22"/>
        <v>-2</v>
      </c>
      <c r="AL11" s="13">
        <f t="shared" si="23"/>
        <v>-7.9999000000000002</v>
      </c>
      <c r="AM11" s="16">
        <v>3</v>
      </c>
      <c r="AN11" s="2">
        <f t="shared" si="24"/>
        <v>-1</v>
      </c>
      <c r="AO11" s="13">
        <f t="shared" si="25"/>
        <v>-8.9999000000000002</v>
      </c>
      <c r="AP11" s="16">
        <v>3</v>
      </c>
      <c r="AQ11" s="2">
        <f t="shared" si="26"/>
        <v>-1</v>
      </c>
      <c r="AR11" s="13">
        <f t="shared" si="27"/>
        <v>-9.9999000000000002</v>
      </c>
      <c r="AS11" s="16">
        <v>3</v>
      </c>
      <c r="AT11" s="2">
        <f t="shared" si="28"/>
        <v>-1</v>
      </c>
      <c r="AU11" s="13">
        <f t="shared" si="29"/>
        <v>-10.9999</v>
      </c>
      <c r="AV11" s="16">
        <v>3</v>
      </c>
      <c r="AW11" s="2">
        <f t="shared" si="30"/>
        <v>-1</v>
      </c>
      <c r="AX11" s="13">
        <f t="shared" si="31"/>
        <v>-11.9999</v>
      </c>
      <c r="AY11" s="16">
        <v>3</v>
      </c>
      <c r="AZ11" s="2">
        <f t="shared" si="32"/>
        <v>-1</v>
      </c>
      <c r="BA11" s="13">
        <f t="shared" si="33"/>
        <v>-12.9999</v>
      </c>
      <c r="BB11" s="16">
        <v>2</v>
      </c>
      <c r="BC11" s="2">
        <f t="shared" si="34"/>
        <v>-2</v>
      </c>
      <c r="BD11" s="13">
        <f t="shared" si="35"/>
        <v>-14.9999</v>
      </c>
      <c r="BF11" t="s">
        <v>29</v>
      </c>
      <c r="BG11" t="s">
        <v>30</v>
      </c>
      <c r="BH11" s="42">
        <v>-14.9999</v>
      </c>
      <c r="BI11">
        <v>8</v>
      </c>
      <c r="BJ11" s="37" t="s">
        <v>17</v>
      </c>
      <c r="BK11" s="37" t="s">
        <v>18</v>
      </c>
      <c r="BL11" s="41">
        <v>5</v>
      </c>
      <c r="BO11" t="s">
        <v>29</v>
      </c>
      <c r="BP11" t="s">
        <v>30</v>
      </c>
      <c r="BQ11">
        <v>-22</v>
      </c>
      <c r="BR11" s="40">
        <f t="shared" si="36"/>
        <v>7.0000999999999998</v>
      </c>
    </row>
    <row r="12" spans="1:70" x14ac:dyDescent="0.25">
      <c r="A12" t="s">
        <v>36</v>
      </c>
      <c r="B12" t="s">
        <v>37</v>
      </c>
      <c r="C12" s="16">
        <v>5</v>
      </c>
      <c r="D12" s="2">
        <f t="shared" si="0"/>
        <v>1</v>
      </c>
      <c r="E12" s="13">
        <f t="shared" si="1"/>
        <v>1</v>
      </c>
      <c r="F12" s="16">
        <v>4</v>
      </c>
      <c r="G12" s="2">
        <f t="shared" si="2"/>
        <v>0</v>
      </c>
      <c r="H12" s="13">
        <f t="shared" si="3"/>
        <v>1</v>
      </c>
      <c r="I12" s="16">
        <v>4</v>
      </c>
      <c r="J12" s="2">
        <f t="shared" si="4"/>
        <v>0</v>
      </c>
      <c r="K12" s="13">
        <f t="shared" si="5"/>
        <v>1</v>
      </c>
      <c r="L12" s="16">
        <v>4</v>
      </c>
      <c r="M12" s="2">
        <f t="shared" si="6"/>
        <v>0</v>
      </c>
      <c r="N12" s="13">
        <f t="shared" si="7"/>
        <v>1</v>
      </c>
      <c r="O12" s="16">
        <v>4</v>
      </c>
      <c r="P12" s="2">
        <f t="shared" si="8"/>
        <v>0</v>
      </c>
      <c r="Q12" s="13">
        <f t="shared" si="9"/>
        <v>1</v>
      </c>
      <c r="R12" s="17">
        <v>4</v>
      </c>
      <c r="S12" s="2">
        <f t="shared" si="10"/>
        <v>0</v>
      </c>
      <c r="T12" s="13">
        <f t="shared" si="11"/>
        <v>1</v>
      </c>
      <c r="U12" s="16">
        <v>2</v>
      </c>
      <c r="V12" s="2">
        <f t="shared" si="12"/>
        <v>-2</v>
      </c>
      <c r="W12" s="13">
        <f t="shared" si="13"/>
        <v>-1</v>
      </c>
      <c r="X12" s="16">
        <v>5</v>
      </c>
      <c r="Y12" s="2">
        <f t="shared" si="14"/>
        <v>1</v>
      </c>
      <c r="Z12" s="13">
        <f t="shared" si="15"/>
        <v>0</v>
      </c>
      <c r="AA12" s="16">
        <v>4</v>
      </c>
      <c r="AB12" s="2">
        <f t="shared" si="16"/>
        <v>0</v>
      </c>
      <c r="AC12" s="13">
        <f t="shared" si="17"/>
        <v>0</v>
      </c>
      <c r="AD12" s="16">
        <v>5</v>
      </c>
      <c r="AE12" s="2">
        <f t="shared" si="18"/>
        <v>1</v>
      </c>
      <c r="AF12" s="13">
        <f t="shared" si="19"/>
        <v>1</v>
      </c>
      <c r="AG12" s="16">
        <v>4</v>
      </c>
      <c r="AH12" s="2">
        <f t="shared" si="20"/>
        <v>0</v>
      </c>
      <c r="AI12" s="13">
        <f t="shared" si="21"/>
        <v>1</v>
      </c>
      <c r="AJ12" s="16">
        <v>3</v>
      </c>
      <c r="AK12" s="2">
        <f t="shared" si="22"/>
        <v>-1</v>
      </c>
      <c r="AL12" s="13">
        <f t="shared" si="23"/>
        <v>0</v>
      </c>
      <c r="AM12" s="16">
        <v>5</v>
      </c>
      <c r="AN12" s="2">
        <f t="shared" si="24"/>
        <v>1</v>
      </c>
      <c r="AO12" s="13">
        <f t="shared" si="25"/>
        <v>1</v>
      </c>
      <c r="AP12" s="16">
        <v>4</v>
      </c>
      <c r="AQ12" s="2">
        <f t="shared" si="26"/>
        <v>0</v>
      </c>
      <c r="AR12" s="13">
        <f t="shared" si="27"/>
        <v>1</v>
      </c>
      <c r="AS12" s="6">
        <v>7.0000999999999998</v>
      </c>
      <c r="AT12" s="2">
        <f t="shared" si="28"/>
        <v>3.0000999999999998</v>
      </c>
      <c r="AU12" s="13">
        <f t="shared" si="29"/>
        <v>4.0000999999999998</v>
      </c>
      <c r="AV12" s="16">
        <v>5</v>
      </c>
      <c r="AW12" s="2">
        <f t="shared" si="30"/>
        <v>1</v>
      </c>
      <c r="AX12" s="13">
        <f t="shared" si="31"/>
        <v>5.0000999999999998</v>
      </c>
      <c r="AY12" s="16">
        <v>3</v>
      </c>
      <c r="AZ12" s="2">
        <f t="shared" si="32"/>
        <v>-1</v>
      </c>
      <c r="BA12" s="13">
        <f t="shared" si="33"/>
        <v>4.0000999999999998</v>
      </c>
      <c r="BB12" s="6">
        <v>7.0000999999999998</v>
      </c>
      <c r="BC12" s="2">
        <f t="shared" si="34"/>
        <v>3.0000999999999998</v>
      </c>
      <c r="BD12" s="13">
        <f t="shared" si="35"/>
        <v>7.0001999999999995</v>
      </c>
      <c r="BF12" t="s">
        <v>36</v>
      </c>
      <c r="BG12" t="s">
        <v>37</v>
      </c>
      <c r="BH12" s="42">
        <v>7</v>
      </c>
      <c r="BI12">
        <v>9</v>
      </c>
      <c r="BJ12" s="37" t="s">
        <v>36</v>
      </c>
      <c r="BK12" s="37" t="s">
        <v>37</v>
      </c>
      <c r="BL12" s="41">
        <v>7</v>
      </c>
      <c r="BO12" t="s">
        <v>36</v>
      </c>
      <c r="BP12" t="s">
        <v>37</v>
      </c>
      <c r="BQ12">
        <v>16</v>
      </c>
      <c r="BR12" s="40">
        <f t="shared" si="36"/>
        <v>-9</v>
      </c>
    </row>
    <row r="13" spans="1:70" x14ac:dyDescent="0.25">
      <c r="A13" t="s">
        <v>19</v>
      </c>
      <c r="B13" t="s">
        <v>20</v>
      </c>
      <c r="C13" s="16">
        <v>5</v>
      </c>
      <c r="D13" s="2">
        <f t="shared" si="0"/>
        <v>1</v>
      </c>
      <c r="E13" s="13">
        <f t="shared" si="1"/>
        <v>1</v>
      </c>
      <c r="F13" s="16">
        <v>3</v>
      </c>
      <c r="G13" s="2">
        <f t="shared" si="2"/>
        <v>-1</v>
      </c>
      <c r="H13" s="13">
        <f t="shared" si="3"/>
        <v>0</v>
      </c>
      <c r="I13" s="16">
        <v>4</v>
      </c>
      <c r="J13" s="2">
        <f t="shared" si="4"/>
        <v>0</v>
      </c>
      <c r="K13" s="13">
        <f t="shared" si="5"/>
        <v>0</v>
      </c>
      <c r="L13" s="16">
        <v>4</v>
      </c>
      <c r="M13" s="2">
        <f t="shared" si="6"/>
        <v>0</v>
      </c>
      <c r="N13" s="13">
        <f t="shared" si="7"/>
        <v>0</v>
      </c>
      <c r="O13" s="16">
        <v>3</v>
      </c>
      <c r="P13" s="2">
        <f t="shared" si="8"/>
        <v>-1</v>
      </c>
      <c r="Q13" s="13">
        <f t="shared" si="9"/>
        <v>-1</v>
      </c>
      <c r="R13" s="6">
        <v>7.0000999999999998</v>
      </c>
      <c r="S13" s="2">
        <f t="shared" si="10"/>
        <v>3.0000999999999998</v>
      </c>
      <c r="T13" s="13">
        <f t="shared" si="11"/>
        <v>2.0000999999999998</v>
      </c>
      <c r="U13" s="16">
        <v>5</v>
      </c>
      <c r="V13" s="2">
        <f t="shared" si="12"/>
        <v>1</v>
      </c>
      <c r="W13" s="13">
        <f t="shared" si="13"/>
        <v>3.0000999999999998</v>
      </c>
      <c r="X13" s="6">
        <v>7.0000999999999998</v>
      </c>
      <c r="Y13" s="2">
        <f t="shared" si="14"/>
        <v>3.0000999999999998</v>
      </c>
      <c r="Z13" s="13">
        <f t="shared" si="15"/>
        <v>6.0001999999999995</v>
      </c>
      <c r="AA13" s="16">
        <v>4</v>
      </c>
      <c r="AB13" s="2">
        <f t="shared" si="16"/>
        <v>0</v>
      </c>
      <c r="AC13" s="13">
        <f t="shared" si="17"/>
        <v>6.0001999999999995</v>
      </c>
      <c r="AD13" s="8">
        <v>6.9999000000000002</v>
      </c>
      <c r="AE13" s="2">
        <f t="shared" si="18"/>
        <v>2.9999000000000002</v>
      </c>
      <c r="AF13" s="13">
        <f t="shared" si="19"/>
        <v>9.0000999999999998</v>
      </c>
      <c r="AG13" s="16">
        <v>4</v>
      </c>
      <c r="AH13" s="2">
        <f t="shared" si="20"/>
        <v>0</v>
      </c>
      <c r="AI13" s="13">
        <f t="shared" si="21"/>
        <v>9.0000999999999998</v>
      </c>
      <c r="AJ13" s="16">
        <v>3</v>
      </c>
      <c r="AK13" s="2">
        <f t="shared" si="22"/>
        <v>-1</v>
      </c>
      <c r="AL13" s="13">
        <f t="shared" si="23"/>
        <v>8.0000999999999998</v>
      </c>
      <c r="AM13" s="16">
        <v>5</v>
      </c>
      <c r="AN13" s="2">
        <f t="shared" si="24"/>
        <v>1</v>
      </c>
      <c r="AO13" s="13">
        <f t="shared" si="25"/>
        <v>9.0000999999999998</v>
      </c>
      <c r="AP13" s="16">
        <v>5</v>
      </c>
      <c r="AQ13" s="2">
        <f t="shared" si="26"/>
        <v>1</v>
      </c>
      <c r="AR13" s="13">
        <f t="shared" si="27"/>
        <v>10.0001</v>
      </c>
      <c r="AS13" s="16">
        <v>4</v>
      </c>
      <c r="AT13" s="2">
        <f t="shared" si="28"/>
        <v>0</v>
      </c>
      <c r="AU13" s="13">
        <f t="shared" si="29"/>
        <v>10.0001</v>
      </c>
      <c r="AV13" s="16">
        <v>4</v>
      </c>
      <c r="AW13" s="2">
        <f t="shared" si="30"/>
        <v>0</v>
      </c>
      <c r="AX13" s="13">
        <f t="shared" si="31"/>
        <v>10.0001</v>
      </c>
      <c r="AY13" s="16">
        <v>4</v>
      </c>
      <c r="AZ13" s="2">
        <f t="shared" si="32"/>
        <v>0</v>
      </c>
      <c r="BA13" s="13">
        <f t="shared" si="33"/>
        <v>10.0001</v>
      </c>
      <c r="BB13" s="16">
        <v>4</v>
      </c>
      <c r="BC13" s="2">
        <f t="shared" si="34"/>
        <v>0</v>
      </c>
      <c r="BD13" s="13">
        <f t="shared" si="35"/>
        <v>10.0001</v>
      </c>
      <c r="BF13" t="s">
        <v>19</v>
      </c>
      <c r="BG13" t="s">
        <v>20</v>
      </c>
      <c r="BH13" s="42">
        <v>10.0001</v>
      </c>
      <c r="BI13">
        <v>10</v>
      </c>
      <c r="BJ13" s="37" t="s">
        <v>19</v>
      </c>
      <c r="BK13" s="37" t="s">
        <v>20</v>
      </c>
      <c r="BL13" s="41">
        <v>10.0001</v>
      </c>
      <c r="BO13" t="s">
        <v>19</v>
      </c>
      <c r="BP13" t="s">
        <v>20</v>
      </c>
      <c r="BQ13">
        <v>13</v>
      </c>
      <c r="BR13" s="40">
        <f t="shared" si="36"/>
        <v>-2.9999000000000002</v>
      </c>
    </row>
    <row r="14" spans="1:70" x14ac:dyDescent="0.2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7"/>
      <c r="P14" s="2" t="str">
        <f t="shared" si="8"/>
        <v/>
      </c>
      <c r="Q14" s="13" t="str">
        <f t="shared" si="9"/>
        <v/>
      </c>
      <c r="R14" s="17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29"/>
        <v/>
      </c>
      <c r="AV14" s="16"/>
      <c r="AW14" s="2" t="str">
        <f t="shared" si="30"/>
        <v/>
      </c>
      <c r="AX14" s="13" t="str">
        <f t="shared" si="31"/>
        <v/>
      </c>
      <c r="AY14" s="16"/>
      <c r="AZ14" s="2" t="str">
        <f t="shared" si="32"/>
        <v/>
      </c>
      <c r="BA14" s="13" t="str">
        <f t="shared" si="33"/>
        <v/>
      </c>
      <c r="BB14" s="16"/>
      <c r="BC14" s="2" t="str">
        <f t="shared" si="34"/>
        <v/>
      </c>
      <c r="BD14" s="13" t="str">
        <f t="shared" si="35"/>
        <v/>
      </c>
      <c r="BH14" s="42" t="s">
        <v>28</v>
      </c>
      <c r="BI14">
        <v>11</v>
      </c>
      <c r="BJ14" s="37" t="s">
        <v>21</v>
      </c>
      <c r="BK14" s="37" t="s">
        <v>22</v>
      </c>
      <c r="BL14" s="41">
        <v>19.000799999999998</v>
      </c>
      <c r="BR14" s="40"/>
    </row>
    <row r="15" spans="1:70" x14ac:dyDescent="0.25">
      <c r="A15" t="s">
        <v>21</v>
      </c>
      <c r="B15" t="s">
        <v>22</v>
      </c>
      <c r="C15" s="16">
        <v>5</v>
      </c>
      <c r="D15" s="2">
        <f t="shared" si="0"/>
        <v>1</v>
      </c>
      <c r="E15" s="13">
        <f t="shared" si="1"/>
        <v>1</v>
      </c>
      <c r="F15" s="6">
        <v>7.0000999999999998</v>
      </c>
      <c r="G15" s="2">
        <f t="shared" si="2"/>
        <v>3.0000999999999998</v>
      </c>
      <c r="H15" s="13">
        <f t="shared" si="3"/>
        <v>4.0000999999999998</v>
      </c>
      <c r="I15" s="16">
        <v>3</v>
      </c>
      <c r="J15" s="2">
        <f t="shared" si="4"/>
        <v>-1</v>
      </c>
      <c r="K15" s="13">
        <f t="shared" si="5"/>
        <v>3.0000999999999998</v>
      </c>
      <c r="L15" s="6">
        <v>7.0000999999999998</v>
      </c>
      <c r="M15" s="2">
        <f t="shared" si="6"/>
        <v>3.0000999999999998</v>
      </c>
      <c r="N15" s="13">
        <f t="shared" si="7"/>
        <v>6.0001999999999995</v>
      </c>
      <c r="O15" s="6">
        <v>7.0000999999999998</v>
      </c>
      <c r="P15" s="2">
        <f t="shared" si="8"/>
        <v>3.0000999999999998</v>
      </c>
      <c r="Q15" s="13">
        <f t="shared" si="9"/>
        <v>9.0002999999999993</v>
      </c>
      <c r="R15" s="6">
        <v>7.0000999999999998</v>
      </c>
      <c r="S15" s="2">
        <f t="shared" si="10"/>
        <v>3.0000999999999998</v>
      </c>
      <c r="T15" s="13">
        <f t="shared" si="11"/>
        <v>12.000399999999999</v>
      </c>
      <c r="U15" s="16">
        <v>4</v>
      </c>
      <c r="V15" s="2">
        <f t="shared" si="12"/>
        <v>0</v>
      </c>
      <c r="W15" s="13">
        <f t="shared" si="13"/>
        <v>12.000399999999999</v>
      </c>
      <c r="X15" s="16">
        <v>5</v>
      </c>
      <c r="Y15" s="2">
        <f t="shared" si="14"/>
        <v>1</v>
      </c>
      <c r="Z15" s="13">
        <f t="shared" si="15"/>
        <v>13.000399999999999</v>
      </c>
      <c r="AA15" s="6">
        <v>7.0000999999999998</v>
      </c>
      <c r="AB15" s="2">
        <f t="shared" si="16"/>
        <v>3.0000999999999998</v>
      </c>
      <c r="AC15" s="13">
        <f t="shared" si="17"/>
        <v>16.000499999999999</v>
      </c>
      <c r="AD15" s="6">
        <v>7.0000999999999998</v>
      </c>
      <c r="AE15" s="2">
        <f t="shared" si="18"/>
        <v>3.0000999999999998</v>
      </c>
      <c r="AF15" s="13">
        <f t="shared" si="19"/>
        <v>19.000599999999999</v>
      </c>
      <c r="AG15" s="6">
        <v>7.0000999999999998</v>
      </c>
      <c r="AH15" s="2">
        <f t="shared" si="20"/>
        <v>3.0000999999999998</v>
      </c>
      <c r="AI15" s="13">
        <f t="shared" si="21"/>
        <v>22.000699999999998</v>
      </c>
      <c r="AJ15" s="16">
        <v>5</v>
      </c>
      <c r="AK15" s="2">
        <f t="shared" si="22"/>
        <v>1</v>
      </c>
      <c r="AL15" s="13">
        <f t="shared" si="23"/>
        <v>23.000699999999998</v>
      </c>
      <c r="AM15" s="16">
        <v>3</v>
      </c>
      <c r="AN15" s="2">
        <f t="shared" si="24"/>
        <v>-1</v>
      </c>
      <c r="AO15" s="13">
        <f t="shared" si="25"/>
        <v>22.000699999999998</v>
      </c>
      <c r="AP15" s="16">
        <v>3</v>
      </c>
      <c r="AQ15" s="2">
        <f t="shared" si="26"/>
        <v>-1</v>
      </c>
      <c r="AR15" s="13">
        <f t="shared" si="27"/>
        <v>21.000699999999998</v>
      </c>
      <c r="AS15" s="6">
        <v>7.0000999999999998</v>
      </c>
      <c r="AT15" s="2">
        <f t="shared" si="28"/>
        <v>3.0000999999999998</v>
      </c>
      <c r="AU15" s="13">
        <f t="shared" si="29"/>
        <v>24.000799999999998</v>
      </c>
      <c r="AV15" s="16">
        <v>2</v>
      </c>
      <c r="AW15" s="2">
        <f t="shared" si="30"/>
        <v>-2</v>
      </c>
      <c r="AX15" s="13">
        <f t="shared" si="31"/>
        <v>22.000799999999998</v>
      </c>
      <c r="AY15" s="16">
        <v>2</v>
      </c>
      <c r="AZ15" s="2">
        <f t="shared" si="32"/>
        <v>-2</v>
      </c>
      <c r="BA15" s="13">
        <f t="shared" si="33"/>
        <v>20.000799999999998</v>
      </c>
      <c r="BB15" s="16">
        <v>3</v>
      </c>
      <c r="BC15" s="2">
        <f t="shared" si="34"/>
        <v>-1</v>
      </c>
      <c r="BD15" s="13">
        <f t="shared" si="35"/>
        <v>19.000799999999998</v>
      </c>
      <c r="BF15" t="s">
        <v>21</v>
      </c>
      <c r="BG15" t="s">
        <v>22</v>
      </c>
      <c r="BH15" s="42">
        <v>19.000799999999998</v>
      </c>
      <c r="BJ15" s="37"/>
      <c r="BK15" s="37"/>
      <c r="BL15" s="41" t="s">
        <v>28</v>
      </c>
      <c r="BO15" t="s">
        <v>21</v>
      </c>
      <c r="BP15" t="s">
        <v>22</v>
      </c>
      <c r="BQ15">
        <v>11</v>
      </c>
      <c r="BR15" s="40">
        <f t="shared" si="36"/>
        <v>8.0007999999999981</v>
      </c>
    </row>
    <row r="16" spans="1:70" x14ac:dyDescent="0.25">
      <c r="A16" t="s">
        <v>21</v>
      </c>
      <c r="B16" t="s">
        <v>31</v>
      </c>
      <c r="C16" s="16">
        <v>3</v>
      </c>
      <c r="D16" s="2">
        <f t="shared" si="0"/>
        <v>-1</v>
      </c>
      <c r="E16" s="13">
        <f t="shared" si="1"/>
        <v>-1</v>
      </c>
      <c r="F16" s="17">
        <v>3</v>
      </c>
      <c r="G16" s="2">
        <f t="shared" si="2"/>
        <v>-1</v>
      </c>
      <c r="H16" s="13">
        <f t="shared" si="3"/>
        <v>-2</v>
      </c>
      <c r="I16" s="17">
        <v>3</v>
      </c>
      <c r="J16" s="2">
        <f t="shared" si="4"/>
        <v>-1</v>
      </c>
      <c r="K16" s="13">
        <f t="shared" si="5"/>
        <v>-3</v>
      </c>
      <c r="L16" s="17">
        <v>4</v>
      </c>
      <c r="M16" s="2">
        <f t="shared" si="6"/>
        <v>0</v>
      </c>
      <c r="N16" s="13">
        <f t="shared" si="7"/>
        <v>-3</v>
      </c>
      <c r="O16" s="17">
        <v>3</v>
      </c>
      <c r="P16" s="2">
        <f t="shared" si="8"/>
        <v>-1</v>
      </c>
      <c r="Q16" s="13">
        <f t="shared" si="9"/>
        <v>-4</v>
      </c>
      <c r="R16" s="17">
        <v>3</v>
      </c>
      <c r="S16" s="2">
        <f t="shared" si="10"/>
        <v>-1</v>
      </c>
      <c r="T16" s="13">
        <f t="shared" si="11"/>
        <v>-5</v>
      </c>
      <c r="U16" s="16">
        <v>3</v>
      </c>
      <c r="V16" s="2">
        <f t="shared" si="12"/>
        <v>-1</v>
      </c>
      <c r="W16" s="13">
        <f t="shared" si="13"/>
        <v>-6</v>
      </c>
      <c r="X16" s="16">
        <v>4</v>
      </c>
      <c r="Y16" s="2">
        <f t="shared" si="14"/>
        <v>0</v>
      </c>
      <c r="Z16" s="13">
        <f t="shared" si="15"/>
        <v>-6</v>
      </c>
      <c r="AA16" s="17">
        <v>3</v>
      </c>
      <c r="AB16" s="2">
        <f t="shared" si="16"/>
        <v>-1</v>
      </c>
      <c r="AC16" s="13">
        <f t="shared" si="17"/>
        <v>-7</v>
      </c>
      <c r="AD16" s="17">
        <v>3</v>
      </c>
      <c r="AE16" s="2">
        <f t="shared" si="18"/>
        <v>-1</v>
      </c>
      <c r="AF16" s="13">
        <f t="shared" si="19"/>
        <v>-8</v>
      </c>
      <c r="AG16" s="16">
        <v>3</v>
      </c>
      <c r="AH16" s="2">
        <f t="shared" si="20"/>
        <v>-1</v>
      </c>
      <c r="AI16" s="13">
        <f t="shared" si="21"/>
        <v>-9</v>
      </c>
      <c r="AJ16" s="16">
        <v>3</v>
      </c>
      <c r="AK16" s="2">
        <f t="shared" si="22"/>
        <v>-1</v>
      </c>
      <c r="AL16" s="13">
        <f t="shared" si="23"/>
        <v>-10</v>
      </c>
      <c r="AM16" s="16">
        <v>3</v>
      </c>
      <c r="AN16" s="2">
        <f t="shared" si="24"/>
        <v>-1</v>
      </c>
      <c r="AO16" s="13">
        <f t="shared" si="25"/>
        <v>-11</v>
      </c>
      <c r="AP16" s="16">
        <v>2</v>
      </c>
      <c r="AQ16" s="2">
        <f t="shared" si="26"/>
        <v>-2</v>
      </c>
      <c r="AR16" s="13">
        <f t="shared" si="27"/>
        <v>-13</v>
      </c>
      <c r="AS16" s="16">
        <v>3</v>
      </c>
      <c r="AT16" s="2">
        <f t="shared" si="28"/>
        <v>-1</v>
      </c>
      <c r="AU16" s="13">
        <f t="shared" si="29"/>
        <v>-14</v>
      </c>
      <c r="AV16" s="16">
        <v>3</v>
      </c>
      <c r="AW16" s="2">
        <f t="shared" si="30"/>
        <v>-1</v>
      </c>
      <c r="AX16" s="13">
        <f t="shared" si="31"/>
        <v>-15</v>
      </c>
      <c r="AY16" s="16">
        <v>3</v>
      </c>
      <c r="AZ16" s="2">
        <f t="shared" si="32"/>
        <v>-1</v>
      </c>
      <c r="BA16" s="13">
        <f t="shared" si="33"/>
        <v>-16</v>
      </c>
      <c r="BB16" s="16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 s="42">
        <v>-17</v>
      </c>
      <c r="BJ16" s="37"/>
      <c r="BK16" s="37"/>
      <c r="BL16" s="41" t="s">
        <v>28</v>
      </c>
      <c r="BO16" t="s">
        <v>21</v>
      </c>
      <c r="BP16" t="s">
        <v>31</v>
      </c>
      <c r="BQ16">
        <v>-17</v>
      </c>
      <c r="BR16" s="40">
        <f t="shared" si="36"/>
        <v>0</v>
      </c>
    </row>
    <row r="17" spans="1:70" x14ac:dyDescent="0.2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4</v>
      </c>
      <c r="G17" s="2">
        <f t="shared" si="2"/>
        <v>0</v>
      </c>
      <c r="H17" s="13">
        <f t="shared" si="3"/>
        <v>-1</v>
      </c>
      <c r="I17" s="17">
        <v>5</v>
      </c>
      <c r="J17" s="2">
        <f t="shared" si="4"/>
        <v>1</v>
      </c>
      <c r="K17" s="13">
        <f t="shared" si="5"/>
        <v>0</v>
      </c>
      <c r="L17" s="17">
        <v>4</v>
      </c>
      <c r="M17" s="2">
        <f t="shared" si="6"/>
        <v>0</v>
      </c>
      <c r="N17" s="13">
        <f t="shared" si="7"/>
        <v>0</v>
      </c>
      <c r="O17" s="17">
        <v>4</v>
      </c>
      <c r="P17" s="2">
        <f t="shared" si="8"/>
        <v>0</v>
      </c>
      <c r="Q17" s="13">
        <f t="shared" si="9"/>
        <v>0</v>
      </c>
      <c r="R17" s="17">
        <v>4</v>
      </c>
      <c r="S17" s="2">
        <f t="shared" si="10"/>
        <v>0</v>
      </c>
      <c r="T17" s="13">
        <f t="shared" si="11"/>
        <v>0</v>
      </c>
      <c r="U17" s="17">
        <v>3</v>
      </c>
      <c r="V17" s="2">
        <f t="shared" si="12"/>
        <v>-1</v>
      </c>
      <c r="W17" s="13">
        <f t="shared" si="13"/>
        <v>-1</v>
      </c>
      <c r="X17" s="17">
        <v>4</v>
      </c>
      <c r="Y17" s="2">
        <f t="shared" si="14"/>
        <v>0</v>
      </c>
      <c r="Z17" s="13">
        <f t="shared" si="15"/>
        <v>-1</v>
      </c>
      <c r="AA17" s="17">
        <v>4</v>
      </c>
      <c r="AB17" s="2">
        <f t="shared" si="16"/>
        <v>0</v>
      </c>
      <c r="AC17" s="13">
        <f t="shared" si="17"/>
        <v>-1</v>
      </c>
      <c r="AD17" s="17">
        <v>4</v>
      </c>
      <c r="AE17" s="2">
        <f t="shared" si="18"/>
        <v>0</v>
      </c>
      <c r="AF17" s="13">
        <f>IF(AD17&lt;&gt;"",AC17+AE17,"")</f>
        <v>-1</v>
      </c>
      <c r="AG17" s="17">
        <v>2</v>
      </c>
      <c r="AH17" s="2">
        <f t="shared" si="20"/>
        <v>-2</v>
      </c>
      <c r="AI17" s="13">
        <f t="shared" si="21"/>
        <v>-3</v>
      </c>
      <c r="AJ17" s="17">
        <v>3</v>
      </c>
      <c r="AK17" s="2">
        <f t="shared" si="22"/>
        <v>-1</v>
      </c>
      <c r="AL17" s="13">
        <f t="shared" si="23"/>
        <v>-4</v>
      </c>
      <c r="AM17" s="17">
        <v>4</v>
      </c>
      <c r="AN17" s="2">
        <f t="shared" si="24"/>
        <v>0</v>
      </c>
      <c r="AO17" s="13">
        <f t="shared" si="25"/>
        <v>-4</v>
      </c>
      <c r="AP17" s="17">
        <v>3</v>
      </c>
      <c r="AQ17" s="2">
        <f t="shared" si="26"/>
        <v>-1</v>
      </c>
      <c r="AR17" s="13">
        <f t="shared" si="27"/>
        <v>-5</v>
      </c>
      <c r="AS17" s="17">
        <v>3</v>
      </c>
      <c r="AT17" s="2">
        <f>IF(AS17&lt;&gt;"",AS17-$B$1,"")</f>
        <v>-1</v>
      </c>
      <c r="AU17" s="13">
        <f>IF(AS17&lt;&gt;"",AR17+AT17,"")</f>
        <v>-6</v>
      </c>
      <c r="AV17" s="17">
        <v>3</v>
      </c>
      <c r="AW17" s="2">
        <f t="shared" si="30"/>
        <v>-1</v>
      </c>
      <c r="AX17" s="13">
        <f t="shared" si="31"/>
        <v>-7</v>
      </c>
      <c r="AY17" s="17">
        <v>5</v>
      </c>
      <c r="AZ17" s="2">
        <f t="shared" si="32"/>
        <v>1</v>
      </c>
      <c r="BA17" s="13">
        <f t="shared" si="33"/>
        <v>-6</v>
      </c>
      <c r="BB17" s="17">
        <v>4</v>
      </c>
      <c r="BC17" s="2">
        <f t="shared" si="34"/>
        <v>0</v>
      </c>
      <c r="BD17" s="13">
        <f t="shared" si="35"/>
        <v>-6</v>
      </c>
      <c r="BF17" t="s">
        <v>23</v>
      </c>
      <c r="BG17" t="s">
        <v>24</v>
      </c>
      <c r="BH17" s="42">
        <v>-6</v>
      </c>
      <c r="BJ17" s="37"/>
      <c r="BK17" s="37"/>
      <c r="BL17" s="41" t="s">
        <v>28</v>
      </c>
      <c r="BO17" t="s">
        <v>23</v>
      </c>
      <c r="BP17" t="s">
        <v>24</v>
      </c>
      <c r="BQ17">
        <v>-3</v>
      </c>
      <c r="BR17" s="40">
        <f t="shared" si="36"/>
        <v>-3</v>
      </c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>
        <f>IF(COUNT(C4:C19)&gt;0,AVERAGE(C4:C19),"")</f>
        <v>3.75</v>
      </c>
      <c r="D21" s="3"/>
      <c r="E21" s="3"/>
      <c r="F21" s="3">
        <f>IF(COUNT(F4:F19)&gt;0,AVERAGE(F4:F19),"")</f>
        <v>3.8181909090909092</v>
      </c>
      <c r="G21" s="3"/>
      <c r="H21" s="3"/>
      <c r="I21" s="3">
        <f>IF(COUNT(I4:I19)&gt;0,AVERAGE(I4:I19),"")</f>
        <v>3.6363636363636362</v>
      </c>
      <c r="J21" s="3"/>
      <c r="K21" s="3"/>
      <c r="L21" s="3">
        <f>IF(COUNT(L4:L19)&gt;0,AVERAGE(L4:L19),"")</f>
        <v>3.9091000000000005</v>
      </c>
      <c r="M21" s="3"/>
      <c r="N21" s="3"/>
      <c r="O21" s="3">
        <f>IF(COUNT(O4:O19)&gt;0,AVERAGE(O4:O19),"")</f>
        <v>3.9091000000000005</v>
      </c>
      <c r="P21" s="3"/>
      <c r="Q21" s="3"/>
      <c r="R21" s="3">
        <f>IF(COUNT(R4:R19)&gt;0,AVERAGE(R4:R19),"")</f>
        <v>4.6363818181818184</v>
      </c>
      <c r="S21" s="3"/>
      <c r="T21" s="3"/>
      <c r="U21" s="3">
        <f>IF(COUNT(U4:U19)&gt;0,AVERAGE(U4:U19),"")</f>
        <v>3.7272818181818184</v>
      </c>
      <c r="V21" s="3"/>
      <c r="W21" s="3"/>
      <c r="X21" s="3">
        <f>IF(COUNT(X4:X19)&gt;0,AVERAGE(X4:X19),"")</f>
        <v>4.9091181818181813</v>
      </c>
      <c r="Y21" s="3"/>
      <c r="Z21" s="3"/>
      <c r="AA21" s="3">
        <f>IF(COUNT(AA4:AA19)&gt;0,AVERAGE(AA4:AA19),"")</f>
        <v>3.9091000000000005</v>
      </c>
      <c r="AB21" s="3"/>
      <c r="AC21" s="3"/>
      <c r="AD21" s="3">
        <f>IF(COUNT(AD4:AD19)&gt;0,AVERAGE(AD4:AD19),"")</f>
        <v>4.9090909090909092</v>
      </c>
      <c r="AE21" s="3"/>
      <c r="AF21" s="3"/>
      <c r="AG21" s="3">
        <f>IF(COUNT(AG4:AG19)&gt;0,AVERAGE(AG4:AG19),"")</f>
        <v>4.636372727272728</v>
      </c>
      <c r="AH21" s="3"/>
      <c r="AI21" s="3"/>
      <c r="AJ21" s="3">
        <f>IF(COUNT(AJ4:AJ19)&gt;0,AVERAGE(AJ4:AJ19),"")</f>
        <v>3.2727272727272729</v>
      </c>
      <c r="AK21" s="3"/>
      <c r="AL21" s="3"/>
      <c r="AM21" s="3">
        <f>IF(COUNT(AM4:AM19)&gt;0,AVERAGE(AM4:AM19),"")</f>
        <v>3.1818181818181817</v>
      </c>
      <c r="AN21" s="18"/>
      <c r="AO21" s="18"/>
      <c r="AP21" s="3">
        <f>IF(COUNT(AP4:AP19)&gt;0,AVERAGE(AP4:AP19),"")</f>
        <v>3.7272727272727271</v>
      </c>
      <c r="AQ21" s="18"/>
      <c r="AR21" s="18"/>
      <c r="AS21" s="3">
        <f>IF(COUNT(AS4:AS19)&gt;0,AVERAGE(AS4:AS19),"")</f>
        <v>4.0000181818181817</v>
      </c>
      <c r="AT21" s="18"/>
      <c r="AU21" s="18"/>
      <c r="AV21" s="3">
        <f>IF(COUNT(AV4:AV19)&gt;0,AVERAGE(AV4:AV19),"")</f>
        <v>3.5454545454545454</v>
      </c>
      <c r="AW21" s="18"/>
      <c r="AX21" s="18"/>
      <c r="AY21" s="3">
        <f>IF(COUNT(AY4:AY19)&gt;0,AVERAGE(AY4:AY19),"")</f>
        <v>3.7272727272727271</v>
      </c>
      <c r="AZ21" s="18"/>
      <c r="BA21" s="18"/>
      <c r="BB21" s="3">
        <f>IF(COUNT(BB4:BB19)&gt;0,AVERAGE(BB4:BB19),"")</f>
        <v>3.6363727272727275</v>
      </c>
      <c r="BC21" s="18"/>
      <c r="BD21" s="18"/>
    </row>
    <row r="23" spans="1:70" x14ac:dyDescent="0.25">
      <c r="C23" s="6">
        <v>7.0000999999999998</v>
      </c>
      <c r="D23" s="7" t="s">
        <v>26</v>
      </c>
    </row>
    <row r="24" spans="1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25">
      <c r="C25" s="2"/>
      <c r="D25" s="7"/>
      <c r="F25" s="2"/>
      <c r="AA25" s="8">
        <v>6.9999000000000002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7">
    <sortCondition ref="BL4:BL17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7276-FB45-4B30-86BD-EDEC77CBF2A0}">
  <sheetPr codeName="Sheet4"/>
  <dimension ref="A1:BR68"/>
  <sheetViews>
    <sheetView zoomScaleNormal="100" workbookViewId="0">
      <pane xSplit="2" ySplit="2" topLeftCell="AW3" activePane="bottomRight" state="frozen"/>
      <selection pane="topRight" activeCell="C1" sqref="C1"/>
      <selection pane="bottomLeft" activeCell="A3" sqref="A3"/>
      <selection pane="bottomRight" activeCell="BD16" sqref="BD16"/>
    </sheetView>
  </sheetViews>
  <sheetFormatPr defaultRowHeight="15" x14ac:dyDescent="0.25"/>
  <cols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7.85546875" bestFit="1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44848</v>
      </c>
      <c r="D1" s="53"/>
      <c r="E1" s="54"/>
      <c r="F1" s="52">
        <f>C1+1</f>
        <v>44849</v>
      </c>
      <c r="G1" s="53"/>
      <c r="H1" s="54"/>
      <c r="I1" s="52">
        <f>F1+1</f>
        <v>44850</v>
      </c>
      <c r="J1" s="53"/>
      <c r="K1" s="54"/>
      <c r="L1" s="52">
        <f>I1+1</f>
        <v>44851</v>
      </c>
      <c r="M1" s="53"/>
      <c r="N1" s="54"/>
      <c r="O1" s="52">
        <f>L1+1</f>
        <v>44852</v>
      </c>
      <c r="P1" s="53"/>
      <c r="Q1" s="54"/>
      <c r="R1" s="52">
        <f>O1+1</f>
        <v>44853</v>
      </c>
      <c r="S1" s="53"/>
      <c r="T1" s="54"/>
      <c r="U1" s="52">
        <f>R1+1</f>
        <v>44854</v>
      </c>
      <c r="V1" s="53"/>
      <c r="W1" s="54"/>
      <c r="X1" s="52">
        <f>U1+1</f>
        <v>44855</v>
      </c>
      <c r="Y1" s="53"/>
      <c r="Z1" s="54"/>
      <c r="AA1" s="52">
        <f>X1+1</f>
        <v>44856</v>
      </c>
      <c r="AB1" s="53"/>
      <c r="AC1" s="54"/>
      <c r="AD1" s="52">
        <f>AA1+1</f>
        <v>44857</v>
      </c>
      <c r="AE1" s="53"/>
      <c r="AF1" s="54"/>
      <c r="AG1" s="52">
        <f>AD1+1</f>
        <v>44858</v>
      </c>
      <c r="AH1" s="53"/>
      <c r="AI1" s="54"/>
      <c r="AJ1" s="52">
        <f>AG1+1</f>
        <v>44859</v>
      </c>
      <c r="AK1" s="53"/>
      <c r="AL1" s="54"/>
      <c r="AM1" s="52">
        <f>AJ1+1</f>
        <v>44860</v>
      </c>
      <c r="AN1" s="53"/>
      <c r="AO1" s="54"/>
      <c r="AP1" s="52">
        <f>AM1+1</f>
        <v>44861</v>
      </c>
      <c r="AQ1" s="53"/>
      <c r="AR1" s="54"/>
      <c r="AS1" s="52">
        <f>AP1+1</f>
        <v>44862</v>
      </c>
      <c r="AT1" s="53"/>
      <c r="AU1" s="54"/>
      <c r="AV1" s="52">
        <f>AS1+1</f>
        <v>44863</v>
      </c>
      <c r="AW1" s="53"/>
      <c r="AX1" s="54"/>
      <c r="AY1" s="52">
        <f>AV1+1</f>
        <v>44864</v>
      </c>
      <c r="AZ1" s="53"/>
      <c r="BA1" s="54"/>
      <c r="BB1" s="52">
        <f>AY1+1</f>
        <v>44865</v>
      </c>
      <c r="BC1" s="53"/>
      <c r="BD1" s="54"/>
    </row>
    <row r="2" spans="1:70" x14ac:dyDescent="0.25">
      <c r="B2" s="9" t="s">
        <v>1</v>
      </c>
      <c r="C2" s="49">
        <v>482</v>
      </c>
      <c r="D2" s="50"/>
      <c r="E2" s="51"/>
      <c r="F2" s="49">
        <f>C2+1</f>
        <v>483</v>
      </c>
      <c r="G2" s="50"/>
      <c r="H2" s="51"/>
      <c r="I2" s="49">
        <f>F2+1</f>
        <v>484</v>
      </c>
      <c r="J2" s="50"/>
      <c r="K2" s="51"/>
      <c r="L2" s="49">
        <f>I2+1</f>
        <v>485</v>
      </c>
      <c r="M2" s="50"/>
      <c r="N2" s="51"/>
      <c r="O2" s="49">
        <f>L2+1</f>
        <v>486</v>
      </c>
      <c r="P2" s="50"/>
      <c r="Q2" s="51"/>
      <c r="R2" s="49">
        <f>O2+1</f>
        <v>487</v>
      </c>
      <c r="S2" s="50"/>
      <c r="T2" s="51"/>
      <c r="U2" s="49">
        <f>R2+1</f>
        <v>488</v>
      </c>
      <c r="V2" s="50"/>
      <c r="W2" s="51"/>
      <c r="X2" s="49">
        <f>U2+1</f>
        <v>489</v>
      </c>
      <c r="Y2" s="50"/>
      <c r="Z2" s="51"/>
      <c r="AA2" s="49">
        <f>X2+1</f>
        <v>490</v>
      </c>
      <c r="AB2" s="50"/>
      <c r="AC2" s="51"/>
      <c r="AD2" s="49">
        <f>AA2+1</f>
        <v>491</v>
      </c>
      <c r="AE2" s="50"/>
      <c r="AF2" s="51"/>
      <c r="AG2" s="49">
        <f>AD2+1</f>
        <v>492</v>
      </c>
      <c r="AH2" s="50"/>
      <c r="AI2" s="51"/>
      <c r="AJ2" s="49">
        <f>AG2+1</f>
        <v>493</v>
      </c>
      <c r="AK2" s="50"/>
      <c r="AL2" s="51"/>
      <c r="AM2" s="49">
        <f>AJ2+1</f>
        <v>494</v>
      </c>
      <c r="AN2" s="50"/>
      <c r="AO2" s="51"/>
      <c r="AP2" s="49">
        <f>AM2+1</f>
        <v>495</v>
      </c>
      <c r="AQ2" s="50"/>
      <c r="AR2" s="51"/>
      <c r="AS2" s="49">
        <f>AP2+1</f>
        <v>496</v>
      </c>
      <c r="AT2" s="50"/>
      <c r="AU2" s="51"/>
      <c r="AV2" s="49">
        <f>AS2+1</f>
        <v>497</v>
      </c>
      <c r="AW2" s="50"/>
      <c r="AX2" s="51"/>
      <c r="AY2" s="49">
        <f>AV2+1</f>
        <v>498</v>
      </c>
      <c r="AZ2" s="50"/>
      <c r="BA2" s="51"/>
      <c r="BB2" s="49">
        <f>AY2+1</f>
        <v>499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9">
        <v>3</v>
      </c>
      <c r="G4" s="18">
        <f>IF(F4&lt;&gt;"",F4-$B$1,"")</f>
        <v>-1</v>
      </c>
      <c r="H4" s="13">
        <f>IF(F4&lt;&gt;"",E4+G4,"")</f>
        <v>-1</v>
      </c>
      <c r="I4" s="39">
        <v>3</v>
      </c>
      <c r="J4" s="18">
        <f>IF(I4&lt;&gt;"",I4-$B$1,"")</f>
        <v>-1</v>
      </c>
      <c r="K4" s="13">
        <f>IF(I4&lt;&gt;"",H4+J4,"")</f>
        <v>-2</v>
      </c>
      <c r="L4" s="39">
        <v>3</v>
      </c>
      <c r="M4" s="18">
        <f>IF(L4&lt;&gt;"",L4-$B$1,"")</f>
        <v>-1</v>
      </c>
      <c r="N4" s="13">
        <f>IF(L4&lt;&gt;"",K4+M4,"")</f>
        <v>-3</v>
      </c>
      <c r="O4" s="39">
        <v>4</v>
      </c>
      <c r="P4" s="18">
        <f>IF(O4&lt;&gt;"",O4-$B$1,"")</f>
        <v>0</v>
      </c>
      <c r="Q4" s="13">
        <f>IF(O4&lt;&gt;"",N4+P4,"")</f>
        <v>-3</v>
      </c>
      <c r="R4" s="39">
        <v>4</v>
      </c>
      <c r="S4" s="18">
        <f>IF(R4&lt;&gt;"",R4-$B$1,"")</f>
        <v>0</v>
      </c>
      <c r="T4" s="13">
        <f>IF(R4&lt;&gt;"",Q4+S4,"")</f>
        <v>-3</v>
      </c>
      <c r="U4" s="39">
        <v>4</v>
      </c>
      <c r="V4" s="18">
        <f>IF(U4&lt;&gt;"",U4-$B$1,"")</f>
        <v>0</v>
      </c>
      <c r="W4" s="13">
        <f>IF(U4&lt;&gt;"",T4+V4,"")</f>
        <v>-3</v>
      </c>
      <c r="X4" s="39">
        <v>4</v>
      </c>
      <c r="Y4" s="18">
        <f>IF(X4&lt;&gt;"",X4-$B$1,"")</f>
        <v>0</v>
      </c>
      <c r="Z4" s="13">
        <f>IF(X4&lt;&gt;"",W4+Y4,"")</f>
        <v>-3</v>
      </c>
      <c r="AA4" s="39">
        <v>6</v>
      </c>
      <c r="AB4" s="18">
        <f>IF(AA4&lt;&gt;"",AA4-$B$1,"")</f>
        <v>2</v>
      </c>
      <c r="AC4" s="13">
        <f>IF(AA4&lt;&gt;"",Z4+AB4,"")</f>
        <v>-1</v>
      </c>
      <c r="AD4" s="39">
        <v>6</v>
      </c>
      <c r="AE4" s="18">
        <f>IF(AD4&lt;&gt;"",AD4-$B$1,"")</f>
        <v>2</v>
      </c>
      <c r="AF4" s="13">
        <f>IF(AD4&lt;&gt;"",AC4+AE4,"")</f>
        <v>1</v>
      </c>
      <c r="AG4" s="39">
        <v>3</v>
      </c>
      <c r="AH4" s="18">
        <f>IF(AG4&lt;&gt;"",AG4-$B$1,"")</f>
        <v>-1</v>
      </c>
      <c r="AI4" s="13">
        <f>IF(AG4&lt;&gt;"",AF4+AH4,"")</f>
        <v>0</v>
      </c>
      <c r="AJ4" s="39">
        <v>5</v>
      </c>
      <c r="AK4" s="18">
        <f>IF(AJ4&lt;&gt;"",AJ4-$B$1,"")</f>
        <v>1</v>
      </c>
      <c r="AL4" s="13">
        <f>IF(AJ4&lt;&gt;"",AI4+AK4,"")</f>
        <v>1</v>
      </c>
      <c r="AM4" s="39">
        <v>5</v>
      </c>
      <c r="AN4" s="18">
        <f>IF(AM4&lt;&gt;"",AM4-$B$1,"")</f>
        <v>1</v>
      </c>
      <c r="AO4" s="13">
        <f>IF(AM4&lt;&gt;"",AL4+AN4,"")</f>
        <v>2</v>
      </c>
      <c r="AP4" s="39">
        <v>5</v>
      </c>
      <c r="AQ4" s="18">
        <f>IF(AP4&lt;&gt;"",AP4-$B$1,"")</f>
        <v>1</v>
      </c>
      <c r="AR4" s="13">
        <f>IF(AP4&lt;&gt;"",AO4+AQ4,"")</f>
        <v>3</v>
      </c>
      <c r="AS4" s="17">
        <v>4</v>
      </c>
      <c r="AT4" s="18">
        <f>IF(AS4&lt;&gt;"",AS4-$B$1,"")</f>
        <v>0</v>
      </c>
      <c r="AU4" s="13">
        <f>IF(AS4&lt;&gt;"",AR4+AT4,"")</f>
        <v>3</v>
      </c>
      <c r="AV4" s="39">
        <v>4</v>
      </c>
      <c r="AW4" s="18">
        <f>IF(AV4&lt;&gt;"",AV4-$B$1,"")</f>
        <v>0</v>
      </c>
      <c r="AX4" s="13">
        <f>IF(AV4&lt;&gt;"",AU4+AW4,"")</f>
        <v>3</v>
      </c>
      <c r="AY4" s="39">
        <v>4</v>
      </c>
      <c r="AZ4" s="18">
        <f>IF(AY4&lt;&gt;"",AY4-$B$1,"")</f>
        <v>0</v>
      </c>
      <c r="BA4" s="13">
        <f>IF(AY4&lt;&gt;"",AX4+AZ4,"")</f>
        <v>3</v>
      </c>
      <c r="BB4" s="39">
        <v>5</v>
      </c>
      <c r="BC4" s="18">
        <f>IF(BB4&lt;&gt;"",BB4-$B$1,"")</f>
        <v>1</v>
      </c>
      <c r="BD4" s="13">
        <f>IF(BB4&lt;&gt;"",BA4+BC4,"")</f>
        <v>4</v>
      </c>
      <c r="BF4" t="s">
        <v>9</v>
      </c>
      <c r="BG4" t="s">
        <v>10</v>
      </c>
      <c r="BH4">
        <v>4</v>
      </c>
      <c r="BJ4" s="37" t="s">
        <v>29</v>
      </c>
      <c r="BK4" s="37" t="s">
        <v>30</v>
      </c>
      <c r="BL4" s="37">
        <v>-22</v>
      </c>
      <c r="BR4" s="1"/>
    </row>
    <row r="5" spans="1:70" x14ac:dyDescent="0.2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3</v>
      </c>
      <c r="J5" s="2">
        <f t="shared" ref="J5:J17" si="4">IF(I5&lt;&gt;"",I5-$B$1,"")</f>
        <v>-1</v>
      </c>
      <c r="K5" s="13">
        <f t="shared" ref="K5:K17" si="5">IF(I5&lt;&gt;"",H5+J5,"")</f>
        <v>-1</v>
      </c>
      <c r="L5" s="17">
        <v>4</v>
      </c>
      <c r="M5" s="2">
        <f t="shared" ref="M5:M17" si="6">IF(L5&lt;&gt;"",L5-$B$1,"")</f>
        <v>0</v>
      </c>
      <c r="N5" s="13">
        <f t="shared" ref="N5:N17" si="7">IF(L5&lt;&gt;"",K5+M5,"")</f>
        <v>-1</v>
      </c>
      <c r="O5" s="6">
        <v>7</v>
      </c>
      <c r="P5" s="2">
        <f t="shared" ref="P5:P17" si="8">IF(O5&lt;&gt;"",O5-$B$1,"")</f>
        <v>3</v>
      </c>
      <c r="Q5" s="13">
        <f t="shared" ref="Q5:Q17" si="9">IF(O5&lt;&gt;"",N5+P5,"")</f>
        <v>2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2</v>
      </c>
      <c r="U5" s="17">
        <v>5</v>
      </c>
      <c r="V5" s="2">
        <f t="shared" ref="V5:V17" si="12">IF(U5&lt;&gt;"",U5-$B$1,"")</f>
        <v>1</v>
      </c>
      <c r="W5" s="13">
        <f t="shared" ref="W5:W17" si="13">IF(U5&lt;&gt;"",T5+V5,"")</f>
        <v>3</v>
      </c>
      <c r="X5" s="17">
        <v>4</v>
      </c>
      <c r="Y5" s="2">
        <f t="shared" ref="Y5:Y17" si="14">IF(X5&lt;&gt;"",X5-$B$1,"")</f>
        <v>0</v>
      </c>
      <c r="Z5" s="13">
        <f t="shared" ref="Z5:Z17" si="15">IF(X5&lt;&gt;"",W5+Y5,"")</f>
        <v>3</v>
      </c>
      <c r="AA5" s="17">
        <v>4</v>
      </c>
      <c r="AB5" s="2">
        <f t="shared" ref="AB5:AB17" si="16">IF(AA5&lt;&gt;"",AA5-$B$1,"")</f>
        <v>0</v>
      </c>
      <c r="AC5" s="13">
        <f t="shared" ref="AC5:AC17" si="17">IF(AA5&lt;&gt;"",Z5+AB5,"")</f>
        <v>3</v>
      </c>
      <c r="AD5" s="17">
        <v>6</v>
      </c>
      <c r="AE5" s="2">
        <f t="shared" ref="AE5:AE17" si="18">IF(AD5&lt;&gt;"",AD5-$B$1,"")</f>
        <v>2</v>
      </c>
      <c r="AF5" s="13">
        <f t="shared" ref="AF5:AF17" si="19">IF(AD5&lt;&gt;"",AC5+AE5,"")</f>
        <v>5</v>
      </c>
      <c r="AG5" s="17">
        <v>3</v>
      </c>
      <c r="AH5" s="2">
        <f t="shared" ref="AH5:AH17" si="20">IF(AG5&lt;&gt;"",AG5-$B$1,"")</f>
        <v>-1</v>
      </c>
      <c r="AI5" s="13">
        <f t="shared" ref="AI5:AI17" si="21">IF(AG5&lt;&gt;"",AF5+AH5,"")</f>
        <v>4</v>
      </c>
      <c r="AJ5" s="17">
        <v>5</v>
      </c>
      <c r="AK5" s="2">
        <f t="shared" ref="AK5:AK17" si="22">IF(AJ5&lt;&gt;"",AJ5-$B$1,"")</f>
        <v>1</v>
      </c>
      <c r="AL5" s="13">
        <f t="shared" ref="AL5:AL17" si="23">IF(AJ5&lt;&gt;"",AI5+AK5,"")</f>
        <v>5</v>
      </c>
      <c r="AM5" s="17">
        <v>3</v>
      </c>
      <c r="AN5" s="2">
        <f t="shared" ref="AN5:AN17" si="24">IF(AM5&lt;&gt;"",AM5-$B$1,"")</f>
        <v>-1</v>
      </c>
      <c r="AO5" s="13">
        <f t="shared" ref="AO5:AO17" si="25">IF(AM5&lt;&gt;"",AL5+AN5,"")</f>
        <v>4</v>
      </c>
      <c r="AP5" s="17">
        <v>5</v>
      </c>
      <c r="AQ5" s="2">
        <f t="shared" ref="AQ5:AQ17" si="26">IF(AP5&lt;&gt;"",AP5-$B$1,"")</f>
        <v>1</v>
      </c>
      <c r="AR5" s="13">
        <f t="shared" ref="AR5:AR17" si="27">IF(AP5&lt;&gt;"",AO5+AQ5,"")</f>
        <v>5</v>
      </c>
      <c r="AS5" s="17">
        <v>6</v>
      </c>
      <c r="AT5" s="2">
        <f t="shared" ref="AT5:AT16" si="28">IF(AS5&lt;&gt;"",AS5-$B$1,"")</f>
        <v>2</v>
      </c>
      <c r="AU5" s="13">
        <f t="shared" ref="AU5:AU16" si="29">IF(AS5&lt;&gt;"",AR5+AT5,"")</f>
        <v>7</v>
      </c>
      <c r="AV5" s="6">
        <v>7</v>
      </c>
      <c r="AW5" s="2">
        <f t="shared" ref="AW5:AW17" si="30">IF(AV5&lt;&gt;"",AV5-$B$1,"")</f>
        <v>3</v>
      </c>
      <c r="AX5" s="13">
        <f t="shared" ref="AX5:AX17" si="31">IF(AV5&lt;&gt;"",AU5+AW5,"")</f>
        <v>10</v>
      </c>
      <c r="AY5" s="17">
        <v>6</v>
      </c>
      <c r="AZ5" s="2">
        <f t="shared" ref="AZ5:AZ17" si="32">IF(AY5&lt;&gt;"",AY5-$B$1,"")</f>
        <v>2</v>
      </c>
      <c r="BA5" s="13">
        <f t="shared" ref="BA5:BA17" si="33">IF(AY5&lt;&gt;"",AX5+AZ5,"")</f>
        <v>12</v>
      </c>
      <c r="BB5" s="17">
        <v>5</v>
      </c>
      <c r="BC5" s="2">
        <f t="shared" ref="BC5:BC17" si="34">IF(BB5&lt;&gt;"",BB5-$B$1,"")</f>
        <v>1</v>
      </c>
      <c r="BD5" s="13">
        <f t="shared" ref="BD5:BD17" si="35">IF(BB5&lt;&gt;"",BA5+BC5,"")</f>
        <v>13</v>
      </c>
      <c r="BF5" t="s">
        <v>11</v>
      </c>
      <c r="BG5" t="s">
        <v>12</v>
      </c>
      <c r="BH5">
        <v>13</v>
      </c>
      <c r="BJ5" s="37" t="s">
        <v>21</v>
      </c>
      <c r="BK5" s="37" t="s">
        <v>31</v>
      </c>
      <c r="BL5" s="37">
        <v>-17</v>
      </c>
      <c r="BR5" s="1"/>
    </row>
    <row r="6" spans="1:70" x14ac:dyDescent="0.25">
      <c r="A6" t="s">
        <v>13</v>
      </c>
      <c r="B6" t="s">
        <v>14</v>
      </c>
      <c r="C6" s="16">
        <v>2</v>
      </c>
      <c r="D6" s="2">
        <f t="shared" si="0"/>
        <v>-2</v>
      </c>
      <c r="E6" s="13">
        <f t="shared" si="1"/>
        <v>-2</v>
      </c>
      <c r="F6" s="17">
        <v>6</v>
      </c>
      <c r="G6" s="2">
        <f t="shared" si="2"/>
        <v>2</v>
      </c>
      <c r="H6" s="13">
        <f t="shared" si="3"/>
        <v>0</v>
      </c>
      <c r="I6" s="17">
        <v>3</v>
      </c>
      <c r="J6" s="2">
        <f t="shared" si="4"/>
        <v>-1</v>
      </c>
      <c r="K6" s="13">
        <f t="shared" si="5"/>
        <v>-1</v>
      </c>
      <c r="L6" s="17">
        <v>3</v>
      </c>
      <c r="M6" s="2">
        <f t="shared" si="6"/>
        <v>-1</v>
      </c>
      <c r="N6" s="13">
        <f t="shared" si="7"/>
        <v>-2</v>
      </c>
      <c r="O6" s="17">
        <v>4</v>
      </c>
      <c r="P6" s="2">
        <f t="shared" si="8"/>
        <v>0</v>
      </c>
      <c r="Q6" s="13">
        <f t="shared" si="9"/>
        <v>-2</v>
      </c>
      <c r="R6" s="17">
        <v>3</v>
      </c>
      <c r="S6" s="2">
        <f t="shared" si="10"/>
        <v>-1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7">
        <v>4</v>
      </c>
      <c r="Y6" s="2">
        <f t="shared" si="14"/>
        <v>0</v>
      </c>
      <c r="Z6" s="13">
        <f t="shared" si="15"/>
        <v>-4</v>
      </c>
      <c r="AA6" s="17">
        <v>2</v>
      </c>
      <c r="AB6" s="2">
        <f t="shared" si="16"/>
        <v>-2</v>
      </c>
      <c r="AC6" s="13">
        <f t="shared" si="17"/>
        <v>-6</v>
      </c>
      <c r="AD6" s="17">
        <v>5</v>
      </c>
      <c r="AE6" s="2">
        <f t="shared" si="18"/>
        <v>1</v>
      </c>
      <c r="AF6" s="13">
        <f t="shared" si="19"/>
        <v>-5</v>
      </c>
      <c r="AG6" s="17">
        <v>5</v>
      </c>
      <c r="AH6" s="2">
        <f t="shared" si="20"/>
        <v>1</v>
      </c>
      <c r="AI6" s="13">
        <f t="shared" si="21"/>
        <v>-4</v>
      </c>
      <c r="AJ6" s="17">
        <v>5</v>
      </c>
      <c r="AK6" s="2">
        <f t="shared" si="22"/>
        <v>1</v>
      </c>
      <c r="AL6" s="13">
        <f t="shared" si="23"/>
        <v>-3</v>
      </c>
      <c r="AM6" s="17">
        <v>3</v>
      </c>
      <c r="AN6" s="2">
        <f t="shared" si="24"/>
        <v>-1</v>
      </c>
      <c r="AO6" s="13">
        <f t="shared" si="25"/>
        <v>-4</v>
      </c>
      <c r="AP6" s="17">
        <v>4</v>
      </c>
      <c r="AQ6" s="2">
        <f t="shared" si="26"/>
        <v>0</v>
      </c>
      <c r="AR6" s="13">
        <f t="shared" si="27"/>
        <v>-4</v>
      </c>
      <c r="AS6" s="17">
        <v>4</v>
      </c>
      <c r="AT6" s="2">
        <f t="shared" si="28"/>
        <v>0</v>
      </c>
      <c r="AU6" s="13">
        <f t="shared" si="29"/>
        <v>-4</v>
      </c>
      <c r="AV6" s="17">
        <v>3</v>
      </c>
      <c r="AW6" s="2">
        <f t="shared" si="30"/>
        <v>-1</v>
      </c>
      <c r="AX6" s="13">
        <f t="shared" si="31"/>
        <v>-5</v>
      </c>
      <c r="AY6" s="17">
        <v>4</v>
      </c>
      <c r="AZ6" s="2">
        <f t="shared" si="32"/>
        <v>0</v>
      </c>
      <c r="BA6" s="13">
        <f t="shared" si="33"/>
        <v>-5</v>
      </c>
      <c r="BB6" s="17">
        <v>4</v>
      </c>
      <c r="BC6" s="2">
        <f t="shared" si="34"/>
        <v>0</v>
      </c>
      <c r="BD6" s="13">
        <f t="shared" si="35"/>
        <v>-5</v>
      </c>
      <c r="BF6" t="s">
        <v>13</v>
      </c>
      <c r="BG6" t="s">
        <v>14</v>
      </c>
      <c r="BH6">
        <v>-5</v>
      </c>
      <c r="BJ6" s="37" t="s">
        <v>13</v>
      </c>
      <c r="BK6" s="37" t="s">
        <v>14</v>
      </c>
      <c r="BL6" s="37">
        <v>-5</v>
      </c>
      <c r="BR6" s="1"/>
    </row>
    <row r="7" spans="1:70" x14ac:dyDescent="0.2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7">
        <v>5</v>
      </c>
      <c r="G7" s="2">
        <f t="shared" si="2"/>
        <v>1</v>
      </c>
      <c r="H7" s="13">
        <f t="shared" si="3"/>
        <v>1</v>
      </c>
      <c r="I7" s="17">
        <v>3</v>
      </c>
      <c r="J7" s="2">
        <f t="shared" si="4"/>
        <v>-1</v>
      </c>
      <c r="K7" s="13">
        <f t="shared" si="5"/>
        <v>0</v>
      </c>
      <c r="L7" s="17">
        <v>4</v>
      </c>
      <c r="M7" s="2">
        <f t="shared" si="6"/>
        <v>0</v>
      </c>
      <c r="N7" s="13">
        <f t="shared" si="7"/>
        <v>0</v>
      </c>
      <c r="O7" s="17">
        <v>6</v>
      </c>
      <c r="P7" s="2">
        <f t="shared" si="8"/>
        <v>2</v>
      </c>
      <c r="Q7" s="13">
        <f t="shared" si="9"/>
        <v>2</v>
      </c>
      <c r="R7" s="17">
        <v>4</v>
      </c>
      <c r="S7" s="2">
        <f t="shared" si="10"/>
        <v>0</v>
      </c>
      <c r="T7" s="13">
        <f t="shared" si="11"/>
        <v>2</v>
      </c>
      <c r="U7" s="17">
        <v>2</v>
      </c>
      <c r="V7" s="2">
        <f t="shared" si="12"/>
        <v>-2</v>
      </c>
      <c r="W7" s="13">
        <f t="shared" si="13"/>
        <v>0</v>
      </c>
      <c r="X7" s="17">
        <v>5</v>
      </c>
      <c r="Y7" s="2">
        <f t="shared" si="14"/>
        <v>1</v>
      </c>
      <c r="Z7" s="13">
        <f t="shared" si="15"/>
        <v>1</v>
      </c>
      <c r="AA7" s="17">
        <v>4</v>
      </c>
      <c r="AB7" s="2">
        <f t="shared" si="16"/>
        <v>0</v>
      </c>
      <c r="AC7" s="13">
        <f t="shared" si="17"/>
        <v>1</v>
      </c>
      <c r="AD7" s="17">
        <v>5</v>
      </c>
      <c r="AE7" s="2">
        <f t="shared" si="18"/>
        <v>1</v>
      </c>
      <c r="AF7" s="13">
        <f t="shared" si="19"/>
        <v>2</v>
      </c>
      <c r="AG7" s="17">
        <v>5</v>
      </c>
      <c r="AH7" s="2">
        <f t="shared" si="20"/>
        <v>1</v>
      </c>
      <c r="AI7" s="13">
        <f t="shared" si="21"/>
        <v>3</v>
      </c>
      <c r="AJ7" s="17">
        <v>4</v>
      </c>
      <c r="AK7" s="2">
        <f t="shared" si="22"/>
        <v>0</v>
      </c>
      <c r="AL7" s="13">
        <f t="shared" si="23"/>
        <v>3</v>
      </c>
      <c r="AM7" s="17">
        <v>4</v>
      </c>
      <c r="AN7" s="2">
        <f t="shared" si="24"/>
        <v>0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6</v>
      </c>
      <c r="AW7" s="2">
        <f t="shared" si="30"/>
        <v>2</v>
      </c>
      <c r="AX7" s="13">
        <f t="shared" si="31"/>
        <v>6</v>
      </c>
      <c r="AY7" s="17">
        <v>5</v>
      </c>
      <c r="AZ7" s="2">
        <f t="shared" si="32"/>
        <v>1</v>
      </c>
      <c r="BA7" s="13">
        <f t="shared" si="33"/>
        <v>7</v>
      </c>
      <c r="BB7" s="17">
        <v>4</v>
      </c>
      <c r="BC7" s="2">
        <f t="shared" si="34"/>
        <v>0</v>
      </c>
      <c r="BD7" s="13">
        <f t="shared" si="35"/>
        <v>7</v>
      </c>
      <c r="BF7" t="s">
        <v>17</v>
      </c>
      <c r="BG7" t="s">
        <v>18</v>
      </c>
      <c r="BH7">
        <v>7</v>
      </c>
      <c r="BJ7" s="37" t="s">
        <v>23</v>
      </c>
      <c r="BK7" s="37" t="s">
        <v>24</v>
      </c>
      <c r="BL7" s="37">
        <v>-3</v>
      </c>
      <c r="BR7" s="1"/>
    </row>
    <row r="8" spans="1:70" x14ac:dyDescent="0.25">
      <c r="A8" t="s">
        <v>32</v>
      </c>
      <c r="B8" t="s">
        <v>33</v>
      </c>
      <c r="C8" s="6">
        <v>7</v>
      </c>
      <c r="D8" s="2">
        <f t="shared" si="0"/>
        <v>3</v>
      </c>
      <c r="E8" s="13">
        <f t="shared" si="1"/>
        <v>3</v>
      </c>
      <c r="F8" s="6">
        <v>7</v>
      </c>
      <c r="G8" s="2">
        <f t="shared" si="2"/>
        <v>3</v>
      </c>
      <c r="H8" s="13">
        <f t="shared" si="3"/>
        <v>6</v>
      </c>
      <c r="I8" s="6">
        <v>7</v>
      </c>
      <c r="J8" s="2">
        <f t="shared" si="4"/>
        <v>3</v>
      </c>
      <c r="K8" s="13">
        <f t="shared" si="5"/>
        <v>9</v>
      </c>
      <c r="L8" s="6">
        <v>7</v>
      </c>
      <c r="M8" s="2">
        <f t="shared" si="6"/>
        <v>3</v>
      </c>
      <c r="N8" s="13">
        <f t="shared" si="7"/>
        <v>12</v>
      </c>
      <c r="O8" s="6">
        <v>7</v>
      </c>
      <c r="P8" s="2">
        <f t="shared" si="8"/>
        <v>3</v>
      </c>
      <c r="Q8" s="13">
        <f t="shared" si="9"/>
        <v>15</v>
      </c>
      <c r="R8" s="17">
        <v>5</v>
      </c>
      <c r="S8" s="2">
        <f t="shared" si="10"/>
        <v>1</v>
      </c>
      <c r="T8" s="13">
        <f t="shared" si="11"/>
        <v>16</v>
      </c>
      <c r="U8" s="17">
        <v>5</v>
      </c>
      <c r="V8" s="2">
        <f t="shared" si="12"/>
        <v>1</v>
      </c>
      <c r="W8" s="13">
        <f t="shared" si="13"/>
        <v>17</v>
      </c>
      <c r="X8" s="8">
        <v>7</v>
      </c>
      <c r="Y8" s="2">
        <f t="shared" si="14"/>
        <v>3</v>
      </c>
      <c r="Z8" s="13">
        <f t="shared" si="15"/>
        <v>20</v>
      </c>
      <c r="AA8" s="17">
        <v>5</v>
      </c>
      <c r="AB8" s="2">
        <f t="shared" si="16"/>
        <v>1</v>
      </c>
      <c r="AC8" s="13">
        <f t="shared" si="17"/>
        <v>21</v>
      </c>
      <c r="AD8" s="8">
        <v>7</v>
      </c>
      <c r="AE8" s="2">
        <f t="shared" si="18"/>
        <v>3</v>
      </c>
      <c r="AF8" s="13">
        <f t="shared" si="19"/>
        <v>24</v>
      </c>
      <c r="AG8" s="17">
        <v>3</v>
      </c>
      <c r="AH8" s="2">
        <f t="shared" si="20"/>
        <v>-1</v>
      </c>
      <c r="AI8" s="13">
        <f t="shared" si="21"/>
        <v>23</v>
      </c>
      <c r="AJ8" s="6">
        <v>7</v>
      </c>
      <c r="AK8" s="2">
        <f t="shared" si="22"/>
        <v>3</v>
      </c>
      <c r="AL8" s="13">
        <f t="shared" si="23"/>
        <v>26</v>
      </c>
      <c r="AM8" s="6">
        <v>7</v>
      </c>
      <c r="AN8" s="2">
        <f t="shared" si="24"/>
        <v>3</v>
      </c>
      <c r="AO8" s="13">
        <f t="shared" si="25"/>
        <v>29</v>
      </c>
      <c r="AP8" s="17">
        <v>4</v>
      </c>
      <c r="AQ8" s="2">
        <f t="shared" si="26"/>
        <v>0</v>
      </c>
      <c r="AR8" s="13">
        <f t="shared" si="27"/>
        <v>29</v>
      </c>
      <c r="AS8" s="6">
        <v>7</v>
      </c>
      <c r="AT8" s="2">
        <f t="shared" si="28"/>
        <v>3</v>
      </c>
      <c r="AU8" s="13">
        <f t="shared" si="29"/>
        <v>32</v>
      </c>
      <c r="AV8" s="6">
        <v>7</v>
      </c>
      <c r="AW8" s="2">
        <f t="shared" si="30"/>
        <v>3</v>
      </c>
      <c r="AX8" s="13">
        <f t="shared" si="31"/>
        <v>35</v>
      </c>
      <c r="AY8" s="6">
        <v>7</v>
      </c>
      <c r="AZ8" s="2">
        <f t="shared" si="32"/>
        <v>3</v>
      </c>
      <c r="BA8" s="13">
        <f t="shared" si="33"/>
        <v>38</v>
      </c>
      <c r="BB8" s="17">
        <v>3</v>
      </c>
      <c r="BC8" s="2">
        <f t="shared" si="34"/>
        <v>-1</v>
      </c>
      <c r="BD8" s="13">
        <f t="shared" si="35"/>
        <v>37</v>
      </c>
      <c r="BF8" t="s">
        <v>32</v>
      </c>
      <c r="BG8" t="s">
        <v>33</v>
      </c>
      <c r="BH8">
        <v>37</v>
      </c>
      <c r="BJ8" s="37" t="s">
        <v>9</v>
      </c>
      <c r="BK8" s="37" t="s">
        <v>10</v>
      </c>
      <c r="BL8" s="37">
        <v>4</v>
      </c>
      <c r="BR8" s="1"/>
    </row>
    <row r="9" spans="1:70" x14ac:dyDescent="0.25">
      <c r="A9" t="s">
        <v>34</v>
      </c>
      <c r="B9" t="s">
        <v>35</v>
      </c>
      <c r="C9" s="16">
        <v>4</v>
      </c>
      <c r="D9" s="2">
        <f t="shared" si="0"/>
        <v>0</v>
      </c>
      <c r="E9" s="13">
        <f t="shared" si="1"/>
        <v>0</v>
      </c>
      <c r="F9" s="8">
        <v>7</v>
      </c>
      <c r="G9" s="2">
        <f t="shared" si="2"/>
        <v>3</v>
      </c>
      <c r="H9" s="13">
        <f t="shared" si="3"/>
        <v>3</v>
      </c>
      <c r="I9" s="17">
        <v>4</v>
      </c>
      <c r="J9" s="2">
        <f t="shared" si="4"/>
        <v>0</v>
      </c>
      <c r="K9" s="13">
        <f t="shared" si="5"/>
        <v>3</v>
      </c>
      <c r="L9" s="17">
        <v>3</v>
      </c>
      <c r="M9" s="2">
        <f t="shared" si="6"/>
        <v>-1</v>
      </c>
      <c r="N9" s="13">
        <f t="shared" si="7"/>
        <v>2</v>
      </c>
      <c r="O9" s="17">
        <v>2</v>
      </c>
      <c r="P9" s="2">
        <f t="shared" si="8"/>
        <v>-2</v>
      </c>
      <c r="Q9" s="13">
        <f t="shared" si="9"/>
        <v>0</v>
      </c>
      <c r="R9" s="17">
        <v>4</v>
      </c>
      <c r="S9" s="2">
        <f t="shared" si="10"/>
        <v>0</v>
      </c>
      <c r="T9" s="13">
        <f t="shared" si="11"/>
        <v>0</v>
      </c>
      <c r="U9" s="17">
        <v>4</v>
      </c>
      <c r="V9" s="2">
        <f t="shared" si="12"/>
        <v>0</v>
      </c>
      <c r="W9" s="13">
        <f t="shared" si="13"/>
        <v>0</v>
      </c>
      <c r="X9" s="17">
        <v>6</v>
      </c>
      <c r="Y9" s="2">
        <f t="shared" si="14"/>
        <v>2</v>
      </c>
      <c r="Z9" s="13">
        <f t="shared" si="15"/>
        <v>2</v>
      </c>
      <c r="AA9" s="17">
        <v>3</v>
      </c>
      <c r="AB9" s="2">
        <f t="shared" si="16"/>
        <v>-1</v>
      </c>
      <c r="AC9" s="13">
        <f t="shared" si="17"/>
        <v>1</v>
      </c>
      <c r="AD9" s="17">
        <v>5</v>
      </c>
      <c r="AE9" s="2">
        <f t="shared" si="18"/>
        <v>1</v>
      </c>
      <c r="AF9" s="13">
        <f t="shared" si="19"/>
        <v>2</v>
      </c>
      <c r="AG9" s="17">
        <v>4</v>
      </c>
      <c r="AH9" s="2">
        <f t="shared" si="20"/>
        <v>0</v>
      </c>
      <c r="AI9" s="13">
        <f t="shared" si="21"/>
        <v>2</v>
      </c>
      <c r="AJ9" s="17">
        <v>3</v>
      </c>
      <c r="AK9" s="2">
        <f t="shared" si="22"/>
        <v>-1</v>
      </c>
      <c r="AL9" s="13">
        <f t="shared" si="23"/>
        <v>1</v>
      </c>
      <c r="AM9" s="6">
        <v>7</v>
      </c>
      <c r="AN9" s="2">
        <f t="shared" si="24"/>
        <v>3</v>
      </c>
      <c r="AO9" s="13">
        <f t="shared" si="25"/>
        <v>4</v>
      </c>
      <c r="AP9" s="6">
        <v>7</v>
      </c>
      <c r="AQ9" s="2">
        <f t="shared" si="26"/>
        <v>3</v>
      </c>
      <c r="AR9" s="13">
        <f t="shared" si="27"/>
        <v>7</v>
      </c>
      <c r="AS9" s="6">
        <v>7</v>
      </c>
      <c r="AT9" s="2">
        <f t="shared" si="28"/>
        <v>3</v>
      </c>
      <c r="AU9" s="13">
        <f t="shared" si="29"/>
        <v>10</v>
      </c>
      <c r="AV9" s="6">
        <v>7</v>
      </c>
      <c r="AW9" s="2">
        <f t="shared" si="30"/>
        <v>3</v>
      </c>
      <c r="AX9" s="13">
        <f t="shared" si="31"/>
        <v>13</v>
      </c>
      <c r="AY9" s="6">
        <v>7</v>
      </c>
      <c r="AZ9" s="2">
        <f t="shared" si="32"/>
        <v>3</v>
      </c>
      <c r="BA9" s="13">
        <f t="shared" si="33"/>
        <v>16</v>
      </c>
      <c r="BB9" s="6">
        <v>7</v>
      </c>
      <c r="BC9" s="2">
        <f t="shared" si="34"/>
        <v>3</v>
      </c>
      <c r="BD9" s="13">
        <f t="shared" si="35"/>
        <v>19</v>
      </c>
      <c r="BF9" t="s">
        <v>34</v>
      </c>
      <c r="BG9" t="s">
        <v>35</v>
      </c>
      <c r="BH9">
        <v>19</v>
      </c>
      <c r="BJ9" s="37" t="s">
        <v>17</v>
      </c>
      <c r="BK9" s="37" t="s">
        <v>18</v>
      </c>
      <c r="BL9" s="37">
        <v>7</v>
      </c>
      <c r="BR9" s="1"/>
    </row>
    <row r="10" spans="1:70" x14ac:dyDescent="0.25">
      <c r="A10" t="s">
        <v>15</v>
      </c>
      <c r="B10" t="s">
        <v>16</v>
      </c>
      <c r="C10" s="16">
        <v>4</v>
      </c>
      <c r="D10" s="2">
        <f t="shared" si="0"/>
        <v>0</v>
      </c>
      <c r="E10" s="13">
        <f t="shared" si="1"/>
        <v>0</v>
      </c>
      <c r="F10" s="17">
        <v>6</v>
      </c>
      <c r="G10" s="2">
        <f t="shared" si="2"/>
        <v>2</v>
      </c>
      <c r="H10" s="13">
        <f t="shared" si="3"/>
        <v>2</v>
      </c>
      <c r="I10" s="17">
        <v>3</v>
      </c>
      <c r="J10" s="2">
        <f t="shared" si="4"/>
        <v>-1</v>
      </c>
      <c r="K10" s="13">
        <f t="shared" si="5"/>
        <v>1</v>
      </c>
      <c r="L10" s="17">
        <v>5</v>
      </c>
      <c r="M10" s="2">
        <f t="shared" si="6"/>
        <v>1</v>
      </c>
      <c r="N10" s="13">
        <f t="shared" si="7"/>
        <v>2</v>
      </c>
      <c r="O10" s="17">
        <v>5</v>
      </c>
      <c r="P10" s="2">
        <f t="shared" si="8"/>
        <v>1</v>
      </c>
      <c r="Q10" s="13">
        <f t="shared" si="9"/>
        <v>3</v>
      </c>
      <c r="R10" s="17">
        <v>4</v>
      </c>
      <c r="S10" s="2">
        <f t="shared" si="10"/>
        <v>0</v>
      </c>
      <c r="T10" s="13">
        <f t="shared" si="11"/>
        <v>3</v>
      </c>
      <c r="U10" s="17">
        <v>4</v>
      </c>
      <c r="V10" s="2">
        <f t="shared" si="12"/>
        <v>0</v>
      </c>
      <c r="W10" s="13">
        <f t="shared" si="13"/>
        <v>3</v>
      </c>
      <c r="X10" s="17">
        <v>5</v>
      </c>
      <c r="Y10" s="2">
        <f t="shared" si="14"/>
        <v>1</v>
      </c>
      <c r="Z10" s="13">
        <f t="shared" si="15"/>
        <v>4</v>
      </c>
      <c r="AA10" s="17">
        <v>4</v>
      </c>
      <c r="AB10" s="2">
        <f t="shared" si="16"/>
        <v>0</v>
      </c>
      <c r="AC10" s="13">
        <f t="shared" si="17"/>
        <v>4</v>
      </c>
      <c r="AD10" s="8">
        <v>7</v>
      </c>
      <c r="AE10" s="2">
        <f t="shared" si="18"/>
        <v>3</v>
      </c>
      <c r="AF10" s="13">
        <f t="shared" si="19"/>
        <v>7</v>
      </c>
      <c r="AG10" s="6">
        <v>7</v>
      </c>
      <c r="AH10" s="2">
        <f t="shared" si="20"/>
        <v>3</v>
      </c>
      <c r="AI10" s="13">
        <f t="shared" si="21"/>
        <v>10</v>
      </c>
      <c r="AJ10" s="17">
        <v>4</v>
      </c>
      <c r="AK10" s="2">
        <f t="shared" si="22"/>
        <v>0</v>
      </c>
      <c r="AL10" s="13">
        <f t="shared" si="23"/>
        <v>10</v>
      </c>
      <c r="AM10" s="17">
        <v>5</v>
      </c>
      <c r="AN10" s="2">
        <f t="shared" si="24"/>
        <v>1</v>
      </c>
      <c r="AO10" s="13">
        <f t="shared" si="25"/>
        <v>11</v>
      </c>
      <c r="AP10" s="17">
        <v>4</v>
      </c>
      <c r="AQ10" s="2">
        <f t="shared" si="26"/>
        <v>0</v>
      </c>
      <c r="AR10" s="13">
        <f t="shared" si="27"/>
        <v>11</v>
      </c>
      <c r="AS10" s="17">
        <v>4</v>
      </c>
      <c r="AT10" s="2">
        <f t="shared" si="28"/>
        <v>0</v>
      </c>
      <c r="AU10" s="13">
        <f t="shared" si="29"/>
        <v>11</v>
      </c>
      <c r="AV10" s="17">
        <v>2</v>
      </c>
      <c r="AW10" s="2">
        <f t="shared" si="30"/>
        <v>-2</v>
      </c>
      <c r="AX10" s="13">
        <f t="shared" si="31"/>
        <v>9</v>
      </c>
      <c r="AY10" s="17">
        <v>5</v>
      </c>
      <c r="AZ10" s="2">
        <f t="shared" si="32"/>
        <v>1</v>
      </c>
      <c r="BA10" s="13">
        <f t="shared" si="33"/>
        <v>10</v>
      </c>
      <c r="BB10" s="17">
        <v>4</v>
      </c>
      <c r="BC10" s="2">
        <f t="shared" si="34"/>
        <v>0</v>
      </c>
      <c r="BD10" s="13">
        <f t="shared" si="35"/>
        <v>10</v>
      </c>
      <c r="BF10" t="s">
        <v>15</v>
      </c>
      <c r="BG10" t="s">
        <v>16</v>
      </c>
      <c r="BH10">
        <v>10</v>
      </c>
      <c r="BJ10" s="37" t="s">
        <v>15</v>
      </c>
      <c r="BK10" s="37" t="s">
        <v>16</v>
      </c>
      <c r="BL10" s="37">
        <v>10</v>
      </c>
      <c r="BR10" s="1"/>
    </row>
    <row r="11" spans="1:70" x14ac:dyDescent="0.2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7">
        <v>3</v>
      </c>
      <c r="G11" s="2">
        <f t="shared" si="2"/>
        <v>-1</v>
      </c>
      <c r="H11" s="13">
        <f t="shared" si="3"/>
        <v>-2</v>
      </c>
      <c r="I11" s="17">
        <v>2</v>
      </c>
      <c r="J11" s="2">
        <f t="shared" si="4"/>
        <v>-2</v>
      </c>
      <c r="K11" s="13">
        <f t="shared" si="5"/>
        <v>-4</v>
      </c>
      <c r="L11" s="17">
        <v>2</v>
      </c>
      <c r="M11" s="2">
        <f t="shared" si="6"/>
        <v>-2</v>
      </c>
      <c r="N11" s="13">
        <f t="shared" si="7"/>
        <v>-6</v>
      </c>
      <c r="O11" s="17">
        <v>3</v>
      </c>
      <c r="P11" s="2">
        <f t="shared" si="8"/>
        <v>-1</v>
      </c>
      <c r="Q11" s="13">
        <f t="shared" si="9"/>
        <v>-7</v>
      </c>
      <c r="R11" s="17">
        <v>3</v>
      </c>
      <c r="S11" s="2">
        <f t="shared" si="10"/>
        <v>-1</v>
      </c>
      <c r="T11" s="13">
        <f t="shared" si="11"/>
        <v>-8</v>
      </c>
      <c r="U11" s="17">
        <v>3</v>
      </c>
      <c r="V11" s="2">
        <f t="shared" si="12"/>
        <v>-1</v>
      </c>
      <c r="W11" s="13">
        <f t="shared" si="13"/>
        <v>-9</v>
      </c>
      <c r="X11" s="17">
        <v>3</v>
      </c>
      <c r="Y11" s="2">
        <f t="shared" si="14"/>
        <v>-1</v>
      </c>
      <c r="Z11" s="13">
        <f t="shared" si="15"/>
        <v>-10</v>
      </c>
      <c r="AA11" s="17">
        <v>2</v>
      </c>
      <c r="AB11" s="2">
        <f t="shared" si="16"/>
        <v>-2</v>
      </c>
      <c r="AC11" s="13">
        <f t="shared" si="17"/>
        <v>-12</v>
      </c>
      <c r="AD11" s="17">
        <v>3</v>
      </c>
      <c r="AE11" s="2">
        <f t="shared" si="18"/>
        <v>-1</v>
      </c>
      <c r="AF11" s="13">
        <f t="shared" si="19"/>
        <v>-13</v>
      </c>
      <c r="AG11" s="17">
        <v>3</v>
      </c>
      <c r="AH11" s="2">
        <f t="shared" si="20"/>
        <v>-1</v>
      </c>
      <c r="AI11" s="13">
        <f t="shared" si="21"/>
        <v>-14</v>
      </c>
      <c r="AJ11" s="17">
        <v>3</v>
      </c>
      <c r="AK11" s="2">
        <f t="shared" si="22"/>
        <v>-1</v>
      </c>
      <c r="AL11" s="13">
        <f t="shared" si="23"/>
        <v>-15</v>
      </c>
      <c r="AM11" s="17">
        <v>3</v>
      </c>
      <c r="AN11" s="2">
        <f t="shared" si="24"/>
        <v>-1</v>
      </c>
      <c r="AO11" s="13">
        <f t="shared" si="25"/>
        <v>-16</v>
      </c>
      <c r="AP11" s="17">
        <v>3</v>
      </c>
      <c r="AQ11" s="2">
        <f t="shared" si="26"/>
        <v>-1</v>
      </c>
      <c r="AR11" s="13">
        <f t="shared" si="27"/>
        <v>-17</v>
      </c>
      <c r="AS11" s="17">
        <v>3</v>
      </c>
      <c r="AT11" s="2">
        <f t="shared" si="28"/>
        <v>-1</v>
      </c>
      <c r="AU11" s="13">
        <f t="shared" si="29"/>
        <v>-18</v>
      </c>
      <c r="AV11" s="17">
        <v>3</v>
      </c>
      <c r="AW11" s="2">
        <f t="shared" si="30"/>
        <v>-1</v>
      </c>
      <c r="AX11" s="13">
        <f t="shared" si="31"/>
        <v>-19</v>
      </c>
      <c r="AY11" s="17">
        <v>3</v>
      </c>
      <c r="AZ11" s="2">
        <f t="shared" si="32"/>
        <v>-1</v>
      </c>
      <c r="BA11" s="13">
        <f t="shared" si="33"/>
        <v>-20</v>
      </c>
      <c r="BB11" s="17">
        <v>2</v>
      </c>
      <c r="BC11" s="2">
        <f t="shared" si="34"/>
        <v>-2</v>
      </c>
      <c r="BD11" s="13">
        <f t="shared" si="35"/>
        <v>-22</v>
      </c>
      <c r="BF11" t="s">
        <v>29</v>
      </c>
      <c r="BG11" t="s">
        <v>30</v>
      </c>
      <c r="BH11">
        <v>-22</v>
      </c>
      <c r="BJ11" s="37" t="s">
        <v>21</v>
      </c>
      <c r="BK11" s="37" t="s">
        <v>22</v>
      </c>
      <c r="BL11" s="37">
        <v>11</v>
      </c>
      <c r="BR11" s="1"/>
    </row>
    <row r="12" spans="1:70" x14ac:dyDescent="0.25">
      <c r="A12" t="s">
        <v>36</v>
      </c>
      <c r="B12" t="s">
        <v>37</v>
      </c>
      <c r="C12" s="16">
        <v>3</v>
      </c>
      <c r="D12" s="2">
        <f t="shared" si="0"/>
        <v>-1</v>
      </c>
      <c r="E12" s="13">
        <f t="shared" si="1"/>
        <v>-1</v>
      </c>
      <c r="F12" s="17">
        <v>5</v>
      </c>
      <c r="G12" s="2">
        <f t="shared" si="2"/>
        <v>1</v>
      </c>
      <c r="H12" s="13">
        <f t="shared" si="3"/>
        <v>0</v>
      </c>
      <c r="I12" s="17">
        <v>3</v>
      </c>
      <c r="J12" s="2">
        <f t="shared" si="4"/>
        <v>-1</v>
      </c>
      <c r="K12" s="13">
        <f t="shared" si="5"/>
        <v>-1</v>
      </c>
      <c r="L12" s="17">
        <v>5</v>
      </c>
      <c r="M12" s="2">
        <f t="shared" si="6"/>
        <v>1</v>
      </c>
      <c r="N12" s="13">
        <f t="shared" si="7"/>
        <v>0</v>
      </c>
      <c r="O12" s="6">
        <v>7</v>
      </c>
      <c r="P12" s="2">
        <f t="shared" si="8"/>
        <v>3</v>
      </c>
      <c r="Q12" s="13">
        <f t="shared" si="9"/>
        <v>3</v>
      </c>
      <c r="R12" s="17">
        <v>5</v>
      </c>
      <c r="S12" s="2">
        <f t="shared" si="10"/>
        <v>1</v>
      </c>
      <c r="T12" s="13">
        <f t="shared" si="11"/>
        <v>4</v>
      </c>
      <c r="U12" s="17">
        <v>3</v>
      </c>
      <c r="V12" s="2">
        <f t="shared" si="12"/>
        <v>-1</v>
      </c>
      <c r="W12" s="13">
        <f t="shared" si="13"/>
        <v>3</v>
      </c>
      <c r="X12" s="17">
        <v>4</v>
      </c>
      <c r="Y12" s="2">
        <f t="shared" si="14"/>
        <v>0</v>
      </c>
      <c r="Z12" s="13">
        <f t="shared" si="15"/>
        <v>3</v>
      </c>
      <c r="AA12" s="17">
        <v>5</v>
      </c>
      <c r="AB12" s="2">
        <f t="shared" si="16"/>
        <v>1</v>
      </c>
      <c r="AC12" s="13">
        <f t="shared" si="17"/>
        <v>4</v>
      </c>
      <c r="AD12" s="17">
        <v>6</v>
      </c>
      <c r="AE12" s="2">
        <f t="shared" si="18"/>
        <v>2</v>
      </c>
      <c r="AF12" s="13">
        <f t="shared" si="19"/>
        <v>6</v>
      </c>
      <c r="AG12" s="17">
        <v>5</v>
      </c>
      <c r="AH12" s="2">
        <f t="shared" si="20"/>
        <v>1</v>
      </c>
      <c r="AI12" s="13">
        <f t="shared" si="21"/>
        <v>7</v>
      </c>
      <c r="AJ12" s="6">
        <v>7</v>
      </c>
      <c r="AK12" s="2">
        <f t="shared" si="22"/>
        <v>3</v>
      </c>
      <c r="AL12" s="13">
        <f t="shared" si="23"/>
        <v>10</v>
      </c>
      <c r="AM12" s="6">
        <v>7</v>
      </c>
      <c r="AN12" s="2">
        <f t="shared" si="24"/>
        <v>3</v>
      </c>
      <c r="AO12" s="13">
        <f t="shared" si="25"/>
        <v>13</v>
      </c>
      <c r="AP12" s="6">
        <v>7</v>
      </c>
      <c r="AQ12" s="2">
        <f t="shared" si="26"/>
        <v>3</v>
      </c>
      <c r="AR12" s="13">
        <f t="shared" si="27"/>
        <v>16</v>
      </c>
      <c r="AS12" s="17">
        <v>4</v>
      </c>
      <c r="AT12" s="2">
        <f t="shared" si="28"/>
        <v>0</v>
      </c>
      <c r="AU12" s="13">
        <f t="shared" si="29"/>
        <v>16</v>
      </c>
      <c r="AV12" s="17">
        <v>3</v>
      </c>
      <c r="AW12" s="2">
        <f t="shared" si="30"/>
        <v>-1</v>
      </c>
      <c r="AX12" s="13">
        <f t="shared" si="31"/>
        <v>15</v>
      </c>
      <c r="AY12" s="17">
        <v>5</v>
      </c>
      <c r="AZ12" s="2">
        <f t="shared" si="32"/>
        <v>1</v>
      </c>
      <c r="BA12" s="13">
        <f t="shared" si="33"/>
        <v>16</v>
      </c>
      <c r="BB12" s="17">
        <v>4</v>
      </c>
      <c r="BC12" s="2">
        <f t="shared" si="34"/>
        <v>0</v>
      </c>
      <c r="BD12" s="13">
        <f t="shared" si="35"/>
        <v>16</v>
      </c>
      <c r="BF12" t="s">
        <v>36</v>
      </c>
      <c r="BG12" t="s">
        <v>37</v>
      </c>
      <c r="BH12">
        <v>16</v>
      </c>
      <c r="BJ12" s="37" t="s">
        <v>11</v>
      </c>
      <c r="BK12" s="37" t="s">
        <v>12</v>
      </c>
      <c r="BL12" s="37">
        <v>13</v>
      </c>
      <c r="BR12" s="1"/>
    </row>
    <row r="13" spans="1:70" x14ac:dyDescent="0.25">
      <c r="A13" t="s">
        <v>19</v>
      </c>
      <c r="B13" t="s">
        <v>20</v>
      </c>
      <c r="C13" s="16">
        <v>3</v>
      </c>
      <c r="D13" s="2">
        <f t="shared" si="0"/>
        <v>-1</v>
      </c>
      <c r="E13" s="13">
        <f t="shared" si="1"/>
        <v>-1</v>
      </c>
      <c r="F13" s="8">
        <v>7</v>
      </c>
      <c r="G13" s="2">
        <f t="shared" si="2"/>
        <v>3</v>
      </c>
      <c r="H13" s="13">
        <f t="shared" si="3"/>
        <v>2</v>
      </c>
      <c r="I13" s="17">
        <v>4</v>
      </c>
      <c r="J13" s="2">
        <f t="shared" si="4"/>
        <v>0</v>
      </c>
      <c r="K13" s="13">
        <f t="shared" si="5"/>
        <v>2</v>
      </c>
      <c r="L13" s="6">
        <v>7</v>
      </c>
      <c r="M13" s="2">
        <f t="shared" si="6"/>
        <v>3</v>
      </c>
      <c r="N13" s="13">
        <f t="shared" si="7"/>
        <v>5</v>
      </c>
      <c r="O13" s="17">
        <v>4</v>
      </c>
      <c r="P13" s="2">
        <f t="shared" si="8"/>
        <v>0</v>
      </c>
      <c r="Q13" s="13">
        <f t="shared" si="9"/>
        <v>5</v>
      </c>
      <c r="R13" s="17">
        <v>4</v>
      </c>
      <c r="S13" s="2">
        <f t="shared" si="10"/>
        <v>0</v>
      </c>
      <c r="T13" s="13">
        <f t="shared" si="11"/>
        <v>5</v>
      </c>
      <c r="U13" s="17">
        <v>3</v>
      </c>
      <c r="V13" s="2">
        <f t="shared" si="12"/>
        <v>-1</v>
      </c>
      <c r="W13" s="13">
        <f t="shared" si="13"/>
        <v>4</v>
      </c>
      <c r="X13" s="17">
        <v>5</v>
      </c>
      <c r="Y13" s="2">
        <f t="shared" si="14"/>
        <v>1</v>
      </c>
      <c r="Z13" s="13">
        <f t="shared" si="15"/>
        <v>5</v>
      </c>
      <c r="AA13" s="6">
        <v>7</v>
      </c>
      <c r="AB13" s="2">
        <f t="shared" si="16"/>
        <v>3</v>
      </c>
      <c r="AC13" s="13">
        <f t="shared" si="17"/>
        <v>8</v>
      </c>
      <c r="AD13" s="17">
        <v>6</v>
      </c>
      <c r="AE13" s="2">
        <f t="shared" si="18"/>
        <v>2</v>
      </c>
      <c r="AF13" s="13">
        <f t="shared" si="19"/>
        <v>10</v>
      </c>
      <c r="AG13" s="6">
        <v>7</v>
      </c>
      <c r="AH13" s="2">
        <f t="shared" si="20"/>
        <v>3</v>
      </c>
      <c r="AI13" s="13">
        <f t="shared" si="21"/>
        <v>13</v>
      </c>
      <c r="AJ13" s="17">
        <v>4</v>
      </c>
      <c r="AK13" s="2">
        <f t="shared" si="22"/>
        <v>0</v>
      </c>
      <c r="AL13" s="13">
        <f t="shared" si="23"/>
        <v>13</v>
      </c>
      <c r="AM13" s="17">
        <v>3</v>
      </c>
      <c r="AN13" s="2">
        <f t="shared" si="24"/>
        <v>-1</v>
      </c>
      <c r="AO13" s="13">
        <f t="shared" si="25"/>
        <v>12</v>
      </c>
      <c r="AP13" s="17">
        <v>4</v>
      </c>
      <c r="AQ13" s="2">
        <f t="shared" si="26"/>
        <v>0</v>
      </c>
      <c r="AR13" s="13">
        <f t="shared" si="27"/>
        <v>12</v>
      </c>
      <c r="AS13" s="17">
        <v>4</v>
      </c>
      <c r="AT13" s="2">
        <f t="shared" si="28"/>
        <v>0</v>
      </c>
      <c r="AU13" s="13">
        <f t="shared" si="29"/>
        <v>12</v>
      </c>
      <c r="AV13" s="17">
        <v>5</v>
      </c>
      <c r="AW13" s="2">
        <f t="shared" si="30"/>
        <v>1</v>
      </c>
      <c r="AX13" s="13">
        <f t="shared" si="31"/>
        <v>13</v>
      </c>
      <c r="AY13" s="17">
        <v>3</v>
      </c>
      <c r="AZ13" s="2">
        <f t="shared" si="32"/>
        <v>-1</v>
      </c>
      <c r="BA13" s="13">
        <f t="shared" si="33"/>
        <v>12</v>
      </c>
      <c r="BB13" s="17">
        <v>5</v>
      </c>
      <c r="BC13" s="2">
        <f t="shared" si="34"/>
        <v>1</v>
      </c>
      <c r="BD13" s="13">
        <f t="shared" si="35"/>
        <v>13</v>
      </c>
      <c r="BF13" t="s">
        <v>19</v>
      </c>
      <c r="BG13" t="s">
        <v>20</v>
      </c>
      <c r="BH13">
        <v>13</v>
      </c>
      <c r="BJ13" s="37" t="s">
        <v>19</v>
      </c>
      <c r="BK13" s="37" t="s">
        <v>20</v>
      </c>
      <c r="BL13" s="37">
        <v>13</v>
      </c>
      <c r="BR13" s="1"/>
    </row>
    <row r="14" spans="1:70" x14ac:dyDescent="0.25">
      <c r="A14" t="s">
        <v>38</v>
      </c>
      <c r="B14" t="s">
        <v>10</v>
      </c>
      <c r="C14" s="6">
        <v>7</v>
      </c>
      <c r="D14" s="2">
        <f t="shared" si="0"/>
        <v>3</v>
      </c>
      <c r="E14" s="13">
        <f t="shared" si="1"/>
        <v>3</v>
      </c>
      <c r="F14" s="17">
        <v>6</v>
      </c>
      <c r="G14" s="2">
        <f t="shared" si="2"/>
        <v>2</v>
      </c>
      <c r="H14" s="13">
        <f t="shared" si="3"/>
        <v>5</v>
      </c>
      <c r="I14" s="6">
        <v>7</v>
      </c>
      <c r="J14" s="2">
        <f t="shared" si="4"/>
        <v>3</v>
      </c>
      <c r="K14" s="13">
        <f t="shared" si="5"/>
        <v>8</v>
      </c>
      <c r="L14" s="6">
        <v>7</v>
      </c>
      <c r="M14" s="2">
        <f t="shared" si="6"/>
        <v>3</v>
      </c>
      <c r="N14" s="13">
        <f t="shared" si="7"/>
        <v>11</v>
      </c>
      <c r="O14" s="17">
        <v>3</v>
      </c>
      <c r="P14" s="2">
        <f t="shared" si="8"/>
        <v>-1</v>
      </c>
      <c r="Q14" s="13">
        <f t="shared" si="9"/>
        <v>10</v>
      </c>
      <c r="R14" s="17">
        <v>4</v>
      </c>
      <c r="S14" s="2">
        <f t="shared" si="10"/>
        <v>0</v>
      </c>
      <c r="T14" s="13">
        <f t="shared" si="11"/>
        <v>10</v>
      </c>
      <c r="U14" s="6">
        <v>7</v>
      </c>
      <c r="V14" s="2">
        <f t="shared" si="12"/>
        <v>3</v>
      </c>
      <c r="W14" s="13">
        <f t="shared" si="13"/>
        <v>13</v>
      </c>
      <c r="X14" s="6">
        <v>7</v>
      </c>
      <c r="Y14" s="2">
        <f t="shared" si="14"/>
        <v>3</v>
      </c>
      <c r="Z14" s="13">
        <f t="shared" si="15"/>
        <v>16</v>
      </c>
      <c r="AA14" s="6">
        <v>7</v>
      </c>
      <c r="AB14" s="2">
        <f t="shared" si="16"/>
        <v>3</v>
      </c>
      <c r="AC14" s="13">
        <f t="shared" si="17"/>
        <v>19</v>
      </c>
      <c r="AD14" s="6">
        <v>7</v>
      </c>
      <c r="AE14" s="2">
        <f t="shared" si="18"/>
        <v>3</v>
      </c>
      <c r="AF14" s="13">
        <f t="shared" si="19"/>
        <v>22</v>
      </c>
      <c r="AG14" s="6">
        <v>7</v>
      </c>
      <c r="AH14" s="2">
        <f t="shared" si="20"/>
        <v>3</v>
      </c>
      <c r="AI14" s="13">
        <f t="shared" si="21"/>
        <v>25</v>
      </c>
      <c r="AJ14" s="17">
        <v>4</v>
      </c>
      <c r="AK14" s="2">
        <f t="shared" si="22"/>
        <v>0</v>
      </c>
      <c r="AL14" s="13">
        <f t="shared" si="23"/>
        <v>25</v>
      </c>
      <c r="AM14" s="17">
        <v>2</v>
      </c>
      <c r="AN14" s="2">
        <f t="shared" si="24"/>
        <v>-2</v>
      </c>
      <c r="AO14" s="13">
        <f t="shared" si="25"/>
        <v>23</v>
      </c>
      <c r="AP14" s="6">
        <v>7</v>
      </c>
      <c r="AQ14" s="2">
        <f t="shared" si="26"/>
        <v>3</v>
      </c>
      <c r="AR14" s="13">
        <f t="shared" si="27"/>
        <v>26</v>
      </c>
      <c r="AS14" s="6">
        <v>7</v>
      </c>
      <c r="AT14" s="2">
        <f t="shared" si="28"/>
        <v>3</v>
      </c>
      <c r="AU14" s="13">
        <f t="shared" si="29"/>
        <v>29</v>
      </c>
      <c r="AV14" s="6">
        <v>7</v>
      </c>
      <c r="AW14" s="2">
        <f t="shared" si="30"/>
        <v>3</v>
      </c>
      <c r="AX14" s="13">
        <f t="shared" si="31"/>
        <v>32</v>
      </c>
      <c r="AY14" s="6">
        <v>7</v>
      </c>
      <c r="AZ14" s="2">
        <f t="shared" si="32"/>
        <v>3</v>
      </c>
      <c r="BA14" s="13">
        <f t="shared" si="33"/>
        <v>35</v>
      </c>
      <c r="BB14" s="6">
        <v>7</v>
      </c>
      <c r="BC14" s="2">
        <f t="shared" si="34"/>
        <v>3</v>
      </c>
      <c r="BD14" s="13">
        <f t="shared" si="35"/>
        <v>38</v>
      </c>
      <c r="BF14" t="s">
        <v>38</v>
      </c>
      <c r="BG14" t="s">
        <v>10</v>
      </c>
      <c r="BH14">
        <v>38</v>
      </c>
      <c r="BJ14" s="37" t="s">
        <v>36</v>
      </c>
      <c r="BK14" s="37" t="s">
        <v>37</v>
      </c>
      <c r="BL14" s="37">
        <v>16</v>
      </c>
      <c r="BR14" s="1"/>
    </row>
    <row r="15" spans="1:70" x14ac:dyDescent="0.25">
      <c r="A15" t="s">
        <v>21</v>
      </c>
      <c r="B15" t="s">
        <v>22</v>
      </c>
      <c r="C15" s="16">
        <v>4</v>
      </c>
      <c r="D15" s="2">
        <f t="shared" si="0"/>
        <v>0</v>
      </c>
      <c r="E15" s="13">
        <f t="shared" si="1"/>
        <v>0</v>
      </c>
      <c r="F15" s="17">
        <v>4</v>
      </c>
      <c r="G15" s="2">
        <f t="shared" si="2"/>
        <v>0</v>
      </c>
      <c r="H15" s="13">
        <f t="shared" si="3"/>
        <v>0</v>
      </c>
      <c r="I15" s="17">
        <v>5</v>
      </c>
      <c r="J15" s="2">
        <f t="shared" si="4"/>
        <v>1</v>
      </c>
      <c r="K15" s="13">
        <f t="shared" si="5"/>
        <v>1</v>
      </c>
      <c r="L15" s="17">
        <v>4</v>
      </c>
      <c r="M15" s="2">
        <f t="shared" si="6"/>
        <v>0</v>
      </c>
      <c r="N15" s="13">
        <f t="shared" si="7"/>
        <v>1</v>
      </c>
      <c r="O15" s="17">
        <v>5</v>
      </c>
      <c r="P15" s="2">
        <f t="shared" si="8"/>
        <v>1</v>
      </c>
      <c r="Q15" s="13">
        <f t="shared" si="9"/>
        <v>2</v>
      </c>
      <c r="R15" s="17">
        <v>6</v>
      </c>
      <c r="S15" s="2">
        <f t="shared" si="10"/>
        <v>2</v>
      </c>
      <c r="T15" s="13">
        <f t="shared" si="11"/>
        <v>4</v>
      </c>
      <c r="U15" s="17">
        <v>4</v>
      </c>
      <c r="V15" s="2">
        <f t="shared" si="12"/>
        <v>0</v>
      </c>
      <c r="W15" s="13">
        <f t="shared" si="13"/>
        <v>4</v>
      </c>
      <c r="X15" s="6">
        <v>7</v>
      </c>
      <c r="Y15" s="2">
        <f t="shared" si="14"/>
        <v>3</v>
      </c>
      <c r="Z15" s="13">
        <f t="shared" si="15"/>
        <v>7</v>
      </c>
      <c r="AA15" s="17">
        <v>3</v>
      </c>
      <c r="AB15" s="2">
        <f t="shared" si="16"/>
        <v>-1</v>
      </c>
      <c r="AC15" s="13">
        <f t="shared" si="17"/>
        <v>6</v>
      </c>
      <c r="AD15" s="17">
        <v>4</v>
      </c>
      <c r="AE15" s="2">
        <f t="shared" si="18"/>
        <v>0</v>
      </c>
      <c r="AF15" s="13">
        <f t="shared" si="19"/>
        <v>6</v>
      </c>
      <c r="AG15" s="17">
        <v>3</v>
      </c>
      <c r="AH15" s="2">
        <f t="shared" si="20"/>
        <v>-1</v>
      </c>
      <c r="AI15" s="13">
        <f t="shared" si="21"/>
        <v>5</v>
      </c>
      <c r="AJ15" s="17">
        <v>5</v>
      </c>
      <c r="AK15" s="2">
        <f t="shared" si="22"/>
        <v>1</v>
      </c>
      <c r="AL15" s="13">
        <f t="shared" si="23"/>
        <v>6</v>
      </c>
      <c r="AM15" s="17">
        <v>4</v>
      </c>
      <c r="AN15" s="2">
        <f t="shared" si="24"/>
        <v>0</v>
      </c>
      <c r="AO15" s="13">
        <f t="shared" si="25"/>
        <v>6</v>
      </c>
      <c r="AP15" s="17">
        <v>3</v>
      </c>
      <c r="AQ15" s="2">
        <f t="shared" si="26"/>
        <v>-1</v>
      </c>
      <c r="AR15" s="13">
        <f t="shared" si="27"/>
        <v>5</v>
      </c>
      <c r="AS15" s="17">
        <v>4</v>
      </c>
      <c r="AT15" s="2">
        <f t="shared" si="28"/>
        <v>0</v>
      </c>
      <c r="AU15" s="13">
        <f t="shared" si="29"/>
        <v>5</v>
      </c>
      <c r="AV15" s="17">
        <v>4</v>
      </c>
      <c r="AW15" s="2">
        <f t="shared" si="30"/>
        <v>0</v>
      </c>
      <c r="AX15" s="13">
        <f t="shared" si="31"/>
        <v>5</v>
      </c>
      <c r="AY15" s="6">
        <v>7</v>
      </c>
      <c r="AZ15" s="2">
        <f t="shared" si="32"/>
        <v>3</v>
      </c>
      <c r="BA15" s="13">
        <f t="shared" si="33"/>
        <v>8</v>
      </c>
      <c r="BB15" s="6">
        <v>7</v>
      </c>
      <c r="BC15" s="2">
        <f t="shared" si="34"/>
        <v>3</v>
      </c>
      <c r="BD15" s="13">
        <f t="shared" si="35"/>
        <v>11</v>
      </c>
      <c r="BF15" t="s">
        <v>21</v>
      </c>
      <c r="BG15" t="s">
        <v>22</v>
      </c>
      <c r="BH15">
        <v>11</v>
      </c>
      <c r="BJ15" s="37" t="s">
        <v>34</v>
      </c>
      <c r="BK15" s="37" t="s">
        <v>35</v>
      </c>
      <c r="BL15" s="37">
        <v>19</v>
      </c>
      <c r="BR15" s="1"/>
    </row>
    <row r="16" spans="1:70" x14ac:dyDescent="0.25">
      <c r="A16" t="s">
        <v>21</v>
      </c>
      <c r="B16" t="s">
        <v>31</v>
      </c>
      <c r="C16" s="16">
        <v>4</v>
      </c>
      <c r="D16" s="2">
        <f t="shared" si="0"/>
        <v>0</v>
      </c>
      <c r="E16" s="13">
        <f t="shared" si="1"/>
        <v>0</v>
      </c>
      <c r="F16" s="17">
        <v>3</v>
      </c>
      <c r="G16" s="2">
        <f t="shared" si="2"/>
        <v>-1</v>
      </c>
      <c r="H16" s="13">
        <f t="shared" si="3"/>
        <v>-1</v>
      </c>
      <c r="I16" s="17">
        <v>3</v>
      </c>
      <c r="J16" s="2">
        <f t="shared" si="4"/>
        <v>-1</v>
      </c>
      <c r="K16" s="13">
        <f t="shared" si="5"/>
        <v>-2</v>
      </c>
      <c r="L16" s="17">
        <v>2</v>
      </c>
      <c r="M16" s="2">
        <f t="shared" si="6"/>
        <v>-2</v>
      </c>
      <c r="N16" s="13">
        <f t="shared" si="7"/>
        <v>-4</v>
      </c>
      <c r="O16" s="17">
        <v>3</v>
      </c>
      <c r="P16" s="2">
        <f t="shared" si="8"/>
        <v>-1</v>
      </c>
      <c r="Q16" s="13">
        <f t="shared" si="9"/>
        <v>-5</v>
      </c>
      <c r="R16" s="17">
        <v>3</v>
      </c>
      <c r="S16" s="2">
        <f t="shared" si="10"/>
        <v>-1</v>
      </c>
      <c r="T16" s="13">
        <f t="shared" si="11"/>
        <v>-6</v>
      </c>
      <c r="U16" s="17">
        <v>3</v>
      </c>
      <c r="V16" s="2">
        <f t="shared" si="12"/>
        <v>-1</v>
      </c>
      <c r="W16" s="13">
        <f t="shared" si="13"/>
        <v>-7</v>
      </c>
      <c r="X16" s="17">
        <v>3</v>
      </c>
      <c r="Y16" s="2">
        <f t="shared" si="14"/>
        <v>-1</v>
      </c>
      <c r="Z16" s="13">
        <f t="shared" si="15"/>
        <v>-8</v>
      </c>
      <c r="AA16" s="17">
        <v>3</v>
      </c>
      <c r="AB16" s="2">
        <f t="shared" si="16"/>
        <v>-1</v>
      </c>
      <c r="AC16" s="13">
        <f t="shared" si="17"/>
        <v>-9</v>
      </c>
      <c r="AD16" s="17">
        <v>3</v>
      </c>
      <c r="AE16" s="2">
        <f t="shared" si="18"/>
        <v>-1</v>
      </c>
      <c r="AF16" s="13">
        <f t="shared" si="19"/>
        <v>-10</v>
      </c>
      <c r="AG16" s="17">
        <v>3</v>
      </c>
      <c r="AH16" s="2">
        <f t="shared" si="20"/>
        <v>-1</v>
      </c>
      <c r="AI16" s="13">
        <f t="shared" si="21"/>
        <v>-11</v>
      </c>
      <c r="AJ16" s="17">
        <v>4</v>
      </c>
      <c r="AK16" s="2">
        <f t="shared" si="22"/>
        <v>0</v>
      </c>
      <c r="AL16" s="13">
        <f t="shared" si="23"/>
        <v>-11</v>
      </c>
      <c r="AM16" s="17">
        <v>3</v>
      </c>
      <c r="AN16" s="2">
        <f t="shared" si="24"/>
        <v>-1</v>
      </c>
      <c r="AO16" s="13">
        <f t="shared" si="25"/>
        <v>-12</v>
      </c>
      <c r="AP16" s="17">
        <v>3</v>
      </c>
      <c r="AQ16" s="2">
        <f t="shared" si="26"/>
        <v>-1</v>
      </c>
      <c r="AR16" s="13">
        <f t="shared" si="27"/>
        <v>-13</v>
      </c>
      <c r="AS16" s="17">
        <v>3</v>
      </c>
      <c r="AT16" s="2">
        <f t="shared" si="28"/>
        <v>-1</v>
      </c>
      <c r="AU16" s="13">
        <f t="shared" si="29"/>
        <v>-14</v>
      </c>
      <c r="AV16" s="17">
        <v>3</v>
      </c>
      <c r="AW16" s="2">
        <f t="shared" si="30"/>
        <v>-1</v>
      </c>
      <c r="AX16" s="13">
        <f t="shared" si="31"/>
        <v>-15</v>
      </c>
      <c r="AY16" s="17">
        <v>3</v>
      </c>
      <c r="AZ16" s="2">
        <f t="shared" si="32"/>
        <v>-1</v>
      </c>
      <c r="BA16" s="13">
        <f t="shared" si="33"/>
        <v>-16</v>
      </c>
      <c r="BB16" s="17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>
        <v>-17</v>
      </c>
      <c r="BJ16" s="37" t="s">
        <v>32</v>
      </c>
      <c r="BK16" s="37" t="s">
        <v>33</v>
      </c>
      <c r="BL16" s="37">
        <v>37</v>
      </c>
      <c r="BR16" s="1"/>
    </row>
    <row r="17" spans="1:70" x14ac:dyDescent="0.2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3</v>
      </c>
      <c r="G17" s="2">
        <f t="shared" si="2"/>
        <v>-1</v>
      </c>
      <c r="H17" s="13">
        <f t="shared" si="3"/>
        <v>-2</v>
      </c>
      <c r="I17" s="17">
        <v>4</v>
      </c>
      <c r="J17" s="2">
        <f t="shared" si="4"/>
        <v>0</v>
      </c>
      <c r="K17" s="13">
        <f t="shared" si="5"/>
        <v>-2</v>
      </c>
      <c r="L17" s="17">
        <v>3</v>
      </c>
      <c r="M17" s="2">
        <f t="shared" si="6"/>
        <v>-1</v>
      </c>
      <c r="N17" s="13">
        <f t="shared" si="7"/>
        <v>-3</v>
      </c>
      <c r="O17" s="17">
        <v>4</v>
      </c>
      <c r="P17" s="2">
        <f t="shared" si="8"/>
        <v>0</v>
      </c>
      <c r="Q17" s="13">
        <f t="shared" si="9"/>
        <v>-3</v>
      </c>
      <c r="R17" s="17">
        <v>3</v>
      </c>
      <c r="S17" s="2">
        <f t="shared" si="10"/>
        <v>-1</v>
      </c>
      <c r="T17" s="13">
        <f t="shared" si="11"/>
        <v>-4</v>
      </c>
      <c r="U17" s="17">
        <v>3</v>
      </c>
      <c r="V17" s="2">
        <f t="shared" si="12"/>
        <v>-1</v>
      </c>
      <c r="W17" s="13">
        <f t="shared" si="13"/>
        <v>-5</v>
      </c>
      <c r="X17" s="17">
        <v>5</v>
      </c>
      <c r="Y17" s="2">
        <f t="shared" si="14"/>
        <v>1</v>
      </c>
      <c r="Z17" s="13">
        <f t="shared" si="15"/>
        <v>-4</v>
      </c>
      <c r="AA17" s="17">
        <v>3</v>
      </c>
      <c r="AB17" s="2">
        <f t="shared" si="16"/>
        <v>-1</v>
      </c>
      <c r="AC17" s="13">
        <f t="shared" si="17"/>
        <v>-5</v>
      </c>
      <c r="AD17" s="17">
        <v>5</v>
      </c>
      <c r="AE17" s="2">
        <f t="shared" si="18"/>
        <v>1</v>
      </c>
      <c r="AF17" s="13">
        <f t="shared" si="19"/>
        <v>-4</v>
      </c>
      <c r="AG17" s="17">
        <v>4</v>
      </c>
      <c r="AH17" s="2">
        <f t="shared" si="20"/>
        <v>0</v>
      </c>
      <c r="AI17" s="13">
        <f t="shared" si="21"/>
        <v>-4</v>
      </c>
      <c r="AJ17" s="17">
        <v>6</v>
      </c>
      <c r="AK17" s="2">
        <f t="shared" si="22"/>
        <v>2</v>
      </c>
      <c r="AL17" s="13">
        <f t="shared" si="23"/>
        <v>-2</v>
      </c>
      <c r="AM17" s="17">
        <v>4</v>
      </c>
      <c r="AN17" s="2">
        <f t="shared" si="24"/>
        <v>0</v>
      </c>
      <c r="AO17" s="13">
        <f t="shared" si="25"/>
        <v>-2</v>
      </c>
      <c r="AP17" s="17">
        <v>4</v>
      </c>
      <c r="AQ17" s="2">
        <f t="shared" si="26"/>
        <v>0</v>
      </c>
      <c r="AR17" s="13">
        <f t="shared" si="27"/>
        <v>-2</v>
      </c>
      <c r="AS17" s="17">
        <v>3</v>
      </c>
      <c r="AT17" s="2">
        <f>IF(AS17&lt;&gt;"",AS17-$B$1,"")</f>
        <v>-1</v>
      </c>
      <c r="AU17" s="13">
        <f>IF(AS17&lt;&gt;"",AR17+AT17,"")</f>
        <v>-3</v>
      </c>
      <c r="AV17" s="17">
        <v>4</v>
      </c>
      <c r="AW17" s="2">
        <f t="shared" si="30"/>
        <v>0</v>
      </c>
      <c r="AX17" s="13">
        <f t="shared" si="31"/>
        <v>-3</v>
      </c>
      <c r="AY17" s="17">
        <v>4</v>
      </c>
      <c r="AZ17" s="2">
        <f t="shared" si="32"/>
        <v>0</v>
      </c>
      <c r="BA17" s="13">
        <f t="shared" si="33"/>
        <v>-3</v>
      </c>
      <c r="BB17" s="17">
        <v>4</v>
      </c>
      <c r="BC17" s="2">
        <f t="shared" si="34"/>
        <v>0</v>
      </c>
      <c r="BD17" s="13">
        <f t="shared" si="35"/>
        <v>-3</v>
      </c>
      <c r="BF17" t="s">
        <v>23</v>
      </c>
      <c r="BG17" t="s">
        <v>24</v>
      </c>
      <c r="BH17">
        <v>-3</v>
      </c>
      <c r="BJ17" s="37" t="s">
        <v>38</v>
      </c>
      <c r="BK17" s="37" t="s">
        <v>10</v>
      </c>
      <c r="BL17" s="37">
        <v>38</v>
      </c>
      <c r="BR17" s="1"/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>
        <f>IF(COUNT(C4:C19)&gt;0,AVERAGE(C4:C19),"")</f>
        <v>4</v>
      </c>
      <c r="D21" s="3"/>
      <c r="E21" s="3"/>
      <c r="F21" s="3">
        <f>IF(COUNT(F4:F19)&gt;0,AVERAGE(F4:F19),"")</f>
        <v>4.9285714285714288</v>
      </c>
      <c r="G21" s="3"/>
      <c r="H21" s="3"/>
      <c r="I21" s="3">
        <f>IF(COUNT(I4:I19)&gt;0,AVERAGE(I4:I19),"")</f>
        <v>3.8571428571428572</v>
      </c>
      <c r="J21" s="3"/>
      <c r="K21" s="3"/>
      <c r="L21" s="3">
        <f>IF(COUNT(L4:L19)&gt;0,AVERAGE(L4:L19),"")</f>
        <v>4.2142857142857144</v>
      </c>
      <c r="M21" s="3"/>
      <c r="N21" s="3"/>
      <c r="O21" s="3">
        <f>IF(COUNT(O4:O19)&gt;0,AVERAGE(O4:O19),"")</f>
        <v>4.5714285714285712</v>
      </c>
      <c r="P21" s="3"/>
      <c r="Q21" s="3"/>
      <c r="R21" s="3">
        <f>IF(COUNT(R4:R19)&gt;0,AVERAGE(R4:R19),"")</f>
        <v>4</v>
      </c>
      <c r="S21" s="3"/>
      <c r="T21" s="3"/>
      <c r="U21" s="3">
        <f>IF(COUNT(U4:U19)&gt;0,AVERAGE(U4:U19),"")</f>
        <v>3.7857142857142856</v>
      </c>
      <c r="V21" s="3"/>
      <c r="W21" s="3"/>
      <c r="X21" s="3">
        <f>IF(COUNT(X4:X19)&gt;0,AVERAGE(X4:X19),"")</f>
        <v>4.9285714285714288</v>
      </c>
      <c r="Y21" s="3"/>
      <c r="Z21" s="3"/>
      <c r="AA21" s="3">
        <f>IF(COUNT(AA4:AA19)&gt;0,AVERAGE(AA4:AA19),"")</f>
        <v>4.1428571428571432</v>
      </c>
      <c r="AB21" s="3"/>
      <c r="AC21" s="3"/>
      <c r="AD21" s="3">
        <f>IF(COUNT(AD4:AD19)&gt;0,AVERAGE(AD4:AD19),"")</f>
        <v>5.3571428571428568</v>
      </c>
      <c r="AE21" s="3"/>
      <c r="AF21" s="3"/>
      <c r="AG21" s="3">
        <f>IF(COUNT(AG4:AG19)&gt;0,AVERAGE(AG4:AG19),"")</f>
        <v>4.4285714285714288</v>
      </c>
      <c r="AH21" s="3"/>
      <c r="AI21" s="3"/>
      <c r="AJ21" s="3">
        <f>IF(COUNT(AJ4:AJ19)&gt;0,AVERAGE(AJ4:AJ19),"")</f>
        <v>4.7142857142857144</v>
      </c>
      <c r="AK21" s="3"/>
      <c r="AL21" s="3"/>
      <c r="AM21" s="3">
        <f>IF(COUNT(AM4:AM19)&gt;0,AVERAGE(AM4:AM19),"")</f>
        <v>4.2857142857142856</v>
      </c>
      <c r="AN21" s="18"/>
      <c r="AO21" s="18"/>
      <c r="AP21" s="3">
        <f>IF(COUNT(AP4:AP19)&gt;0,AVERAGE(AP4:AP19),"")</f>
        <v>4.6428571428571432</v>
      </c>
      <c r="AQ21" s="18"/>
      <c r="AR21" s="18"/>
      <c r="AS21" s="3">
        <f>IF(COUNT(AS4:AS19)&gt;0,AVERAGE(AS4:AS19),"")</f>
        <v>4.5714285714285712</v>
      </c>
      <c r="AT21" s="18"/>
      <c r="AU21" s="18"/>
      <c r="AV21" s="3">
        <f>IF(COUNT(AV4:AV19)&gt;0,AVERAGE(AV4:AV19),"")</f>
        <v>4.6428571428571432</v>
      </c>
      <c r="AW21" s="18"/>
      <c r="AX21" s="18"/>
      <c r="AY21" s="3">
        <f>IF(COUNT(AY4:AY19)&gt;0,AVERAGE(AY4:AY19),"")</f>
        <v>5</v>
      </c>
      <c r="AZ21" s="18"/>
      <c r="BA21" s="18"/>
      <c r="BB21" s="3">
        <f>IF(COUNT(BB4:BB19)&gt;0,AVERAGE(BB4:BB19),"")</f>
        <v>4.5714285714285712</v>
      </c>
      <c r="BC21" s="18"/>
      <c r="BD21" s="18"/>
    </row>
    <row r="23" spans="1:70" x14ac:dyDescent="0.25">
      <c r="C23" s="6">
        <v>7</v>
      </c>
      <c r="D23" s="7" t="s">
        <v>26</v>
      </c>
      <c r="I23" t="e" cm="1">
        <f t="array" ref="I23">Green7</f>
        <v>#NAME?</v>
      </c>
    </row>
    <row r="24" spans="1:70" x14ac:dyDescent="0.25">
      <c r="C24" s="8">
        <v>7</v>
      </c>
      <c r="D24" s="7" t="s">
        <v>27</v>
      </c>
      <c r="I24" t="e" cm="1">
        <f t="array" ref="I24">Red7Myname</f>
        <v>#NAME?</v>
      </c>
      <c r="AA24" s="6">
        <v>7</v>
      </c>
      <c r="AB24" s="7" t="s">
        <v>26</v>
      </c>
    </row>
    <row r="25" spans="1:70" x14ac:dyDescent="0.25">
      <c r="C25" s="2"/>
      <c r="D25" s="7"/>
      <c r="F25" s="2"/>
      <c r="AA25" s="8">
        <v>7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N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N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N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N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N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7">
    <sortCondition ref="BL4:BL17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BFB4-DFC2-4A1F-A4FA-84FBA34354E4}">
  <sheetPr codeName="Sheet1"/>
  <dimension ref="A1:BR69"/>
  <sheetViews>
    <sheetView zoomScaleNormal="10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C12" sqref="C12:BD12"/>
    </sheetView>
  </sheetViews>
  <sheetFormatPr defaultRowHeight="15" x14ac:dyDescent="0.25"/>
  <cols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42578125" bestFit="1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2.85546875" bestFit="1" customWidth="1"/>
    <col min="62" max="62" width="9.5703125" bestFit="1" customWidth="1"/>
  </cols>
  <sheetData>
    <row r="1" spans="1:70" x14ac:dyDescent="0.25">
      <c r="A1" s="9" t="s">
        <v>0</v>
      </c>
      <c r="B1" s="7">
        <v>4</v>
      </c>
      <c r="C1" s="52">
        <v>44819</v>
      </c>
      <c r="D1" s="53"/>
      <c r="E1" s="54"/>
      <c r="F1" s="52">
        <f>C1+1</f>
        <v>44820</v>
      </c>
      <c r="G1" s="53"/>
      <c r="H1" s="54"/>
      <c r="I1" s="52">
        <f>F1+1</f>
        <v>44821</v>
      </c>
      <c r="J1" s="53"/>
      <c r="K1" s="54"/>
      <c r="L1" s="52">
        <f>I1+1</f>
        <v>44822</v>
      </c>
      <c r="M1" s="53"/>
      <c r="N1" s="54"/>
      <c r="O1" s="52">
        <f>L1+1</f>
        <v>44823</v>
      </c>
      <c r="P1" s="53"/>
      <c r="Q1" s="54"/>
      <c r="R1" s="52">
        <f>O1+1</f>
        <v>44824</v>
      </c>
      <c r="S1" s="53"/>
      <c r="T1" s="54"/>
      <c r="U1" s="52">
        <f>R1+1</f>
        <v>44825</v>
      </c>
      <c r="V1" s="53"/>
      <c r="W1" s="54"/>
      <c r="X1" s="52">
        <f>U1+1</f>
        <v>44826</v>
      </c>
      <c r="Y1" s="53"/>
      <c r="Z1" s="54"/>
      <c r="AA1" s="52">
        <f>X1+1</f>
        <v>44827</v>
      </c>
      <c r="AB1" s="53"/>
      <c r="AC1" s="54"/>
      <c r="AD1" s="52">
        <f>AA1+1</f>
        <v>44828</v>
      </c>
      <c r="AE1" s="53"/>
      <c r="AF1" s="54"/>
      <c r="AG1" s="52">
        <f>AD1+1</f>
        <v>44829</v>
      </c>
      <c r="AH1" s="53"/>
      <c r="AI1" s="54"/>
      <c r="AJ1" s="52">
        <f>AG1+1</f>
        <v>44830</v>
      </c>
      <c r="AK1" s="53"/>
      <c r="AL1" s="54"/>
      <c r="AM1" s="52">
        <f>AJ1+1</f>
        <v>44831</v>
      </c>
      <c r="AN1" s="53"/>
      <c r="AO1" s="54"/>
      <c r="AP1" s="52">
        <f>AM1+1</f>
        <v>44832</v>
      </c>
      <c r="AQ1" s="53"/>
      <c r="AR1" s="54"/>
      <c r="AS1" s="52">
        <f>AP1+1</f>
        <v>44833</v>
      </c>
      <c r="AT1" s="53"/>
      <c r="AU1" s="54"/>
      <c r="AV1" s="52">
        <f>AS1+1</f>
        <v>44834</v>
      </c>
      <c r="AW1" s="53"/>
      <c r="AX1" s="54"/>
      <c r="AY1" s="52">
        <f>AV1+1</f>
        <v>44835</v>
      </c>
      <c r="AZ1" s="53"/>
      <c r="BA1" s="54"/>
      <c r="BB1" s="52">
        <f>AY1+1</f>
        <v>44836</v>
      </c>
      <c r="BC1" s="53"/>
      <c r="BD1" s="54"/>
    </row>
    <row r="2" spans="1:70" x14ac:dyDescent="0.25">
      <c r="B2" s="9" t="s">
        <v>1</v>
      </c>
      <c r="C2" s="49">
        <v>453</v>
      </c>
      <c r="D2" s="50"/>
      <c r="E2" s="51"/>
      <c r="F2" s="49">
        <f>C2+1</f>
        <v>454</v>
      </c>
      <c r="G2" s="50"/>
      <c r="H2" s="51"/>
      <c r="I2" s="49">
        <f>F2+1</f>
        <v>455</v>
      </c>
      <c r="J2" s="50"/>
      <c r="K2" s="51"/>
      <c r="L2" s="49">
        <f>I2+1</f>
        <v>456</v>
      </c>
      <c r="M2" s="50"/>
      <c r="N2" s="51"/>
      <c r="O2" s="49">
        <f>L2+1</f>
        <v>457</v>
      </c>
      <c r="P2" s="50"/>
      <c r="Q2" s="51"/>
      <c r="R2" s="49">
        <f>O2+1</f>
        <v>458</v>
      </c>
      <c r="S2" s="50"/>
      <c r="T2" s="51"/>
      <c r="U2" s="49">
        <f>R2+1</f>
        <v>459</v>
      </c>
      <c r="V2" s="50"/>
      <c r="W2" s="51"/>
      <c r="X2" s="49">
        <f>U2+1</f>
        <v>460</v>
      </c>
      <c r="Y2" s="50"/>
      <c r="Z2" s="51"/>
      <c r="AA2" s="49">
        <f>X2+1</f>
        <v>461</v>
      </c>
      <c r="AB2" s="50"/>
      <c r="AC2" s="51"/>
      <c r="AD2" s="49">
        <f>AA2+1</f>
        <v>462</v>
      </c>
      <c r="AE2" s="50"/>
      <c r="AF2" s="51"/>
      <c r="AG2" s="49">
        <f>AD2+1</f>
        <v>463</v>
      </c>
      <c r="AH2" s="50"/>
      <c r="AI2" s="51"/>
      <c r="AJ2" s="49">
        <f>AG2+1</f>
        <v>464</v>
      </c>
      <c r="AK2" s="50"/>
      <c r="AL2" s="51"/>
      <c r="AM2" s="49">
        <f>AJ2+1</f>
        <v>465</v>
      </c>
      <c r="AN2" s="50"/>
      <c r="AO2" s="51"/>
      <c r="AP2" s="49">
        <f>AM2+1</f>
        <v>466</v>
      </c>
      <c r="AQ2" s="50"/>
      <c r="AR2" s="51"/>
      <c r="AS2" s="49">
        <f>AP2+1</f>
        <v>467</v>
      </c>
      <c r="AT2" s="50"/>
      <c r="AU2" s="51"/>
      <c r="AV2" s="49">
        <f>AS2+1</f>
        <v>468</v>
      </c>
      <c r="AW2" s="50"/>
      <c r="AX2" s="51"/>
      <c r="AY2" s="49">
        <f>AV2+1</f>
        <v>469</v>
      </c>
      <c r="AZ2" s="50"/>
      <c r="BA2" s="51"/>
      <c r="BB2" s="49">
        <f>AY2+1</f>
        <v>470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  <c r="BO3" t="s">
        <v>39</v>
      </c>
      <c r="BP3" t="s">
        <v>40</v>
      </c>
      <c r="BR3" t="s">
        <v>41</v>
      </c>
    </row>
    <row r="4" spans="1:70" x14ac:dyDescent="0.25">
      <c r="A4" t="s">
        <v>42</v>
      </c>
      <c r="B4" t="s">
        <v>43</v>
      </c>
      <c r="C4" s="29">
        <v>3</v>
      </c>
      <c r="D4" s="18">
        <f>IF(C4&lt;&gt;"",C4-$B$1,"")</f>
        <v>-1</v>
      </c>
      <c r="E4" s="24">
        <f>D4</f>
        <v>-1</v>
      </c>
      <c r="F4" s="30">
        <v>4</v>
      </c>
      <c r="G4" s="18">
        <f>IF(F4&lt;&gt;"",F4-$B$1,"")</f>
        <v>0</v>
      </c>
      <c r="H4" s="13">
        <f>IF(F4&lt;&gt;"",E4+G4,"")</f>
        <v>-1</v>
      </c>
      <c r="I4" s="30">
        <v>4</v>
      </c>
      <c r="J4" s="18">
        <f>IF(I4&lt;&gt;"",I4-$B$1,"")</f>
        <v>0</v>
      </c>
      <c r="K4" s="13">
        <f>IF(I4&lt;&gt;"",H4+J4,"")</f>
        <v>-1</v>
      </c>
      <c r="L4" s="30">
        <v>3</v>
      </c>
      <c r="M4" s="18">
        <f>IF(L4&lt;&gt;"",L4-$B$1,"")</f>
        <v>-1</v>
      </c>
      <c r="N4" s="13">
        <f>IF(L4&lt;&gt;"",K4+M4,"")</f>
        <v>-2</v>
      </c>
      <c r="O4" s="30">
        <v>4</v>
      </c>
      <c r="P4" s="18">
        <f>IF(O4&lt;&gt;"",O4-$B$1,"")</f>
        <v>0</v>
      </c>
      <c r="Q4" s="13">
        <f>IF(O4&lt;&gt;"",N4+P4,"")</f>
        <v>-2</v>
      </c>
      <c r="R4" s="30">
        <v>4</v>
      </c>
      <c r="S4" s="18">
        <f>IF(R4&lt;&gt;"",R4-$B$1,"")</f>
        <v>0</v>
      </c>
      <c r="T4" s="13">
        <f>IF(R4&lt;&gt;"",Q4+S4,"")</f>
        <v>-2</v>
      </c>
      <c r="U4" s="30">
        <v>3</v>
      </c>
      <c r="V4" s="18">
        <f>IF(U4&lt;&gt;"",U4-$B$1,"")</f>
        <v>-1</v>
      </c>
      <c r="W4" s="13">
        <f>IF(U4&lt;&gt;"",T4+V4,"")</f>
        <v>-3</v>
      </c>
      <c r="X4" s="30">
        <v>4</v>
      </c>
      <c r="Y4" s="18">
        <f>IF(X4&lt;&gt;"",X4-$B$1,"")</f>
        <v>0</v>
      </c>
      <c r="Z4" s="13">
        <f>IF(X4&lt;&gt;"",W4+Y4,"")</f>
        <v>-3</v>
      </c>
      <c r="AA4" s="30">
        <v>5</v>
      </c>
      <c r="AB4" s="18">
        <f>IF(AA4&lt;&gt;"",AA4-$B$1,"")</f>
        <v>1</v>
      </c>
      <c r="AC4" s="13">
        <f>IF(AA4&lt;&gt;"",Z4+AB4,"")</f>
        <v>-2</v>
      </c>
      <c r="AD4" s="30">
        <v>2</v>
      </c>
      <c r="AE4" s="18">
        <f>IF(AD4&lt;&gt;"",AD4-$B$1,"")</f>
        <v>-2</v>
      </c>
      <c r="AF4" s="13">
        <f>IF(AD4&lt;&gt;"",AC4+AE4,"")</f>
        <v>-4</v>
      </c>
      <c r="AG4" s="30">
        <v>3</v>
      </c>
      <c r="AH4" s="18">
        <f>IF(AG4&lt;&gt;"",AG4-$B$1,"")</f>
        <v>-1</v>
      </c>
      <c r="AI4" s="13">
        <f>IF(AG4&lt;&gt;"",AF4+AH4,"")</f>
        <v>-5</v>
      </c>
      <c r="AJ4" s="30">
        <v>3</v>
      </c>
      <c r="AK4" s="18">
        <f>IF(AJ4&lt;&gt;"",AJ4-$B$1,"")</f>
        <v>-1</v>
      </c>
      <c r="AL4" s="13">
        <f>IF(AJ4&lt;&gt;"",AI4+AK4,"")</f>
        <v>-6</v>
      </c>
      <c r="AM4" s="30">
        <v>5</v>
      </c>
      <c r="AN4" s="18">
        <f>IF(AM4&lt;&gt;"",AM4-$B$1,"")</f>
        <v>1</v>
      </c>
      <c r="AO4" s="13">
        <f>IF(AM4&lt;&gt;"",AL4+AN4,"")</f>
        <v>-5</v>
      </c>
      <c r="AP4" s="30">
        <v>3</v>
      </c>
      <c r="AQ4" s="18">
        <f>IF(AP4&lt;&gt;"",AP4-$B$1,"")</f>
        <v>-1</v>
      </c>
      <c r="AR4" s="13">
        <f>IF(AP4&lt;&gt;"",AO4+AQ4,"")</f>
        <v>-6</v>
      </c>
      <c r="AS4" s="30">
        <v>3</v>
      </c>
      <c r="AT4" s="18">
        <f>IF(AS4&lt;&gt;"",AS4-$B$1,"")</f>
        <v>-1</v>
      </c>
      <c r="AU4" s="13">
        <f>IF(AS4&lt;&gt;"",AR4+AT4,"")</f>
        <v>-7</v>
      </c>
      <c r="AV4" s="30">
        <v>4</v>
      </c>
      <c r="AW4" s="18">
        <f>IF(AV4&lt;&gt;"",AV4-$B$1,"")</f>
        <v>0</v>
      </c>
      <c r="AX4" s="13">
        <f>IF(AV4&lt;&gt;"",AU4+AW4,"")</f>
        <v>-7</v>
      </c>
      <c r="AY4" s="30">
        <v>3</v>
      </c>
      <c r="AZ4" s="18">
        <f>IF(AY4&lt;&gt;"",AY4-$B$1,"")</f>
        <v>-1</v>
      </c>
      <c r="BA4" s="13">
        <f>IF(AY4&lt;&gt;"",AX4+AZ4,"")</f>
        <v>-8</v>
      </c>
      <c r="BB4" s="30">
        <v>4</v>
      </c>
      <c r="BC4" s="18">
        <f>IF(BB4&lt;&gt;"",BB4-$B$1,"")</f>
        <v>0</v>
      </c>
      <c r="BD4" s="13">
        <f>IF(BB4&lt;&gt;"",BA4+BC4,"")</f>
        <v>-8</v>
      </c>
      <c r="BF4" t="str">
        <f>A4</f>
        <v>Adrian</v>
      </c>
      <c r="BG4" t="str">
        <f>B4</f>
        <v>Stout</v>
      </c>
      <c r="BH4">
        <v>-8</v>
      </c>
      <c r="BI4" s="37">
        <v>1</v>
      </c>
      <c r="BJ4" t="s">
        <v>29</v>
      </c>
      <c r="BK4" t="s">
        <v>30</v>
      </c>
      <c r="BL4">
        <v>-23</v>
      </c>
      <c r="BM4" t="s">
        <v>29</v>
      </c>
      <c r="BN4" t="s">
        <v>30</v>
      </c>
      <c r="BO4">
        <v>-6</v>
      </c>
      <c r="BP4">
        <v>-1.4</v>
      </c>
      <c r="BR4" s="1">
        <f>(4*18+BH4)/18</f>
        <v>3.5555555555555554</v>
      </c>
    </row>
    <row r="5" spans="1:70" x14ac:dyDescent="0.25">
      <c r="A5" t="s">
        <v>9</v>
      </c>
      <c r="B5" t="s">
        <v>10</v>
      </c>
      <c r="C5" s="31">
        <v>3</v>
      </c>
      <c r="D5" s="2">
        <f t="shared" ref="D5:D20" si="0">IF(C5&lt;&gt;"",C5-$B$1,"")</f>
        <v>-1</v>
      </c>
      <c r="E5" s="13">
        <f t="shared" ref="E5:E20" si="1">D5</f>
        <v>-1</v>
      </c>
      <c r="F5" s="32">
        <v>5</v>
      </c>
      <c r="G5" s="2">
        <f t="shared" ref="G5:G20" si="2">IF(F5&lt;&gt;"",F5-$B$1,"")</f>
        <v>1</v>
      </c>
      <c r="H5" s="13">
        <f t="shared" ref="H5:H20" si="3">IF(F5&lt;&gt;"",E5+G5,"")</f>
        <v>0</v>
      </c>
      <c r="I5" s="32">
        <v>3</v>
      </c>
      <c r="J5" s="2">
        <f t="shared" ref="J5:J20" si="4">IF(I5&lt;&gt;"",I5-$B$1,"")</f>
        <v>-1</v>
      </c>
      <c r="K5" s="13">
        <f t="shared" ref="K5:K20" si="5">IF(I5&lt;&gt;"",H5+J5,"")</f>
        <v>-1</v>
      </c>
      <c r="L5" s="32">
        <v>4</v>
      </c>
      <c r="M5" s="2">
        <f t="shared" ref="M5:M20" si="6">IF(L5&lt;&gt;"",L5-$B$1,"")</f>
        <v>0</v>
      </c>
      <c r="N5" s="13">
        <f t="shared" ref="N5:N20" si="7">IF(L5&lt;&gt;"",K5+M5,"")</f>
        <v>-1</v>
      </c>
      <c r="O5" s="32">
        <v>6</v>
      </c>
      <c r="P5" s="2">
        <f t="shared" ref="P5:P20" si="8">IF(O5&lt;&gt;"",O5-$B$1,"")</f>
        <v>2</v>
      </c>
      <c r="Q5" s="13">
        <f t="shared" ref="Q5:Q20" si="9">IF(O5&lt;&gt;"",N5+P5,"")</f>
        <v>1</v>
      </c>
      <c r="R5" s="32">
        <v>5</v>
      </c>
      <c r="S5" s="2">
        <f t="shared" ref="S5:S20" si="10">IF(R5&lt;&gt;"",R5-$B$1,"")</f>
        <v>1</v>
      </c>
      <c r="T5" s="13">
        <f t="shared" ref="T5:T20" si="11">IF(R5&lt;&gt;"",Q5+S5,"")</f>
        <v>2</v>
      </c>
      <c r="U5" s="32">
        <v>4</v>
      </c>
      <c r="V5" s="2">
        <f t="shared" ref="V5:V20" si="12">IF(U5&lt;&gt;"",U5-$B$1,"")</f>
        <v>0</v>
      </c>
      <c r="W5" s="13">
        <f t="shared" ref="W5:W20" si="13">IF(U5&lt;&gt;"",T5+V5,"")</f>
        <v>2</v>
      </c>
      <c r="X5" s="32">
        <v>5</v>
      </c>
      <c r="Y5" s="2">
        <f t="shared" ref="Y5:Y20" si="14">IF(X5&lt;&gt;"",X5-$B$1,"")</f>
        <v>1</v>
      </c>
      <c r="Z5" s="13">
        <f t="shared" ref="Z5:Z20" si="15">IF(X5&lt;&gt;"",W5+Y5,"")</f>
        <v>3</v>
      </c>
      <c r="AA5" s="6">
        <f>$C$24</f>
        <v>7</v>
      </c>
      <c r="AB5" s="2">
        <f t="shared" ref="AB5:AB20" si="16">IF(AA5&lt;&gt;"",AA5-$B$1,"")</f>
        <v>3</v>
      </c>
      <c r="AC5" s="13">
        <f t="shared" ref="AC5:AC20" si="17">IF(AA5&lt;&gt;"",Z5+AB5,"")</f>
        <v>6</v>
      </c>
      <c r="AD5" s="32">
        <v>5</v>
      </c>
      <c r="AE5" s="2">
        <f t="shared" ref="AE5:AE20" si="18">IF(AD5&lt;&gt;"",AD5-$B$1,"")</f>
        <v>1</v>
      </c>
      <c r="AF5" s="13">
        <f t="shared" ref="AF5:AF20" si="19">IF(AD5&lt;&gt;"",AC5+AE5,"")</f>
        <v>7</v>
      </c>
      <c r="AG5" s="32">
        <v>2</v>
      </c>
      <c r="AH5" s="2">
        <f t="shared" ref="AH5:AH20" si="20">IF(AG5&lt;&gt;"",AG5-$B$1,"")</f>
        <v>-2</v>
      </c>
      <c r="AI5" s="13">
        <f t="shared" ref="AI5:AI20" si="21">IF(AG5&lt;&gt;"",AF5+AH5,"")</f>
        <v>5</v>
      </c>
      <c r="AJ5" s="32">
        <v>2</v>
      </c>
      <c r="AK5" s="2">
        <f t="shared" ref="AK5:AK20" si="22">IF(AJ5&lt;&gt;"",AJ5-$B$1,"")</f>
        <v>-2</v>
      </c>
      <c r="AL5" s="13">
        <f t="shared" ref="AL5:AL20" si="23">IF(AJ5&lt;&gt;"",AI5+AK5,"")</f>
        <v>3</v>
      </c>
      <c r="AM5" s="32">
        <v>4</v>
      </c>
      <c r="AN5" s="2">
        <f t="shared" ref="AN5:AN20" si="24">IF(AM5&lt;&gt;"",AM5-$B$1,"")</f>
        <v>0</v>
      </c>
      <c r="AO5" s="13">
        <f t="shared" ref="AO5:AO20" si="25">IF(AM5&lt;&gt;"",AL5+AN5,"")</f>
        <v>3</v>
      </c>
      <c r="AP5" s="32">
        <v>4</v>
      </c>
      <c r="AQ5" s="2">
        <f t="shared" ref="AQ5:AQ20" si="26">IF(AP5&lt;&gt;"",AP5-$B$1,"")</f>
        <v>0</v>
      </c>
      <c r="AR5" s="13">
        <f t="shared" ref="AR5:AR20" si="27">IF(AP5&lt;&gt;"",AO5+AQ5,"")</f>
        <v>3</v>
      </c>
      <c r="AS5" s="6">
        <f>$C$24</f>
        <v>7</v>
      </c>
      <c r="AT5" s="2">
        <f t="shared" ref="AT5:AT20" si="28">IF(AS5&lt;&gt;"",AS5-$B$1,"")</f>
        <v>3</v>
      </c>
      <c r="AU5" s="13">
        <f t="shared" ref="AU5:AU20" si="29">IF(AS5&lt;&gt;"",AR5+AT5,"")</f>
        <v>6</v>
      </c>
      <c r="AV5" s="32">
        <v>3</v>
      </c>
      <c r="AW5" s="2">
        <f t="shared" ref="AW5:AW20" si="30">IF(AV5&lt;&gt;"",AV5-$B$1,"")</f>
        <v>-1</v>
      </c>
      <c r="AX5" s="13">
        <f t="shared" ref="AX5:AX20" si="31">IF(AV5&lt;&gt;"",AU5+AW5,"")</f>
        <v>5</v>
      </c>
      <c r="AY5" s="32">
        <v>5</v>
      </c>
      <c r="AZ5" s="2">
        <f t="shared" ref="AZ5:AZ20" si="32">IF(AY5&lt;&gt;"",AY5-$B$1,"")</f>
        <v>1</v>
      </c>
      <c r="BA5" s="13">
        <f t="shared" ref="BA5:BA20" si="33">IF(AY5&lt;&gt;"",AX5+AZ5,"")</f>
        <v>6</v>
      </c>
      <c r="BB5" s="32">
        <v>3</v>
      </c>
      <c r="BC5" s="2">
        <f t="shared" ref="BC5:BC20" si="34">IF(BB5&lt;&gt;"",BB5-$B$1,"")</f>
        <v>-1</v>
      </c>
      <c r="BD5" s="13">
        <f t="shared" ref="BD5:BD20" si="35">IF(BB5&lt;&gt;"",BA5+BC5,"")</f>
        <v>5</v>
      </c>
      <c r="BF5" t="str">
        <f t="shared" ref="BF5:BF20" si="36">A5</f>
        <v>Alan</v>
      </c>
      <c r="BG5" t="str">
        <f t="shared" ref="BG5:BG20" si="37">B5</f>
        <v>Bentley</v>
      </c>
      <c r="BH5">
        <v>5</v>
      </c>
      <c r="BI5" s="37">
        <v>2</v>
      </c>
      <c r="BJ5" t="s">
        <v>21</v>
      </c>
      <c r="BK5" t="s">
        <v>31</v>
      </c>
      <c r="BL5">
        <v>-20</v>
      </c>
      <c r="BM5" t="s">
        <v>13</v>
      </c>
      <c r="BN5" t="s">
        <v>14</v>
      </c>
      <c r="BO5">
        <v>4</v>
      </c>
      <c r="BP5">
        <v>-15</v>
      </c>
      <c r="BR5" s="1">
        <f t="shared" ref="BR5:BR20" si="38">(4*18+BH5)/18</f>
        <v>4.2777777777777777</v>
      </c>
    </row>
    <row r="6" spans="1:70" x14ac:dyDescent="0.25">
      <c r="A6" t="s">
        <v>11</v>
      </c>
      <c r="B6" t="s">
        <v>12</v>
      </c>
      <c r="C6" s="14">
        <f>$C$24</f>
        <v>7</v>
      </c>
      <c r="D6" s="2">
        <f t="shared" si="0"/>
        <v>3</v>
      </c>
      <c r="E6" s="13">
        <f t="shared" si="1"/>
        <v>3</v>
      </c>
      <c r="F6" s="32">
        <v>6</v>
      </c>
      <c r="G6" s="2">
        <f t="shared" si="2"/>
        <v>2</v>
      </c>
      <c r="H6" s="13">
        <f t="shared" si="3"/>
        <v>5</v>
      </c>
      <c r="I6" s="6">
        <f>$C$24</f>
        <v>7</v>
      </c>
      <c r="J6" s="2">
        <f t="shared" si="4"/>
        <v>3</v>
      </c>
      <c r="K6" s="13">
        <f t="shared" si="5"/>
        <v>8</v>
      </c>
      <c r="L6" s="32">
        <v>4</v>
      </c>
      <c r="M6" s="2">
        <f t="shared" si="6"/>
        <v>0</v>
      </c>
      <c r="N6" s="13">
        <f t="shared" si="7"/>
        <v>8</v>
      </c>
      <c r="O6" s="32">
        <v>5</v>
      </c>
      <c r="P6" s="2">
        <f t="shared" si="8"/>
        <v>1</v>
      </c>
      <c r="Q6" s="13">
        <f t="shared" si="9"/>
        <v>9</v>
      </c>
      <c r="R6" s="32">
        <v>4</v>
      </c>
      <c r="S6" s="2">
        <f t="shared" si="10"/>
        <v>0</v>
      </c>
      <c r="T6" s="13">
        <f t="shared" si="11"/>
        <v>9</v>
      </c>
      <c r="U6" s="32">
        <v>4</v>
      </c>
      <c r="V6" s="2">
        <f t="shared" si="12"/>
        <v>0</v>
      </c>
      <c r="W6" s="13">
        <f t="shared" si="13"/>
        <v>9</v>
      </c>
      <c r="X6" s="32">
        <v>3</v>
      </c>
      <c r="Y6" s="2">
        <f t="shared" si="14"/>
        <v>-1</v>
      </c>
      <c r="Z6" s="13">
        <f t="shared" si="15"/>
        <v>8</v>
      </c>
      <c r="AA6" s="32">
        <v>3</v>
      </c>
      <c r="AB6" s="2">
        <f t="shared" si="16"/>
        <v>-1</v>
      </c>
      <c r="AC6" s="13">
        <f t="shared" si="17"/>
        <v>7</v>
      </c>
      <c r="AD6" s="32">
        <v>4</v>
      </c>
      <c r="AE6" s="2">
        <f t="shared" si="18"/>
        <v>0</v>
      </c>
      <c r="AF6" s="13">
        <f t="shared" si="19"/>
        <v>7</v>
      </c>
      <c r="AG6" s="32">
        <v>3</v>
      </c>
      <c r="AH6" s="2">
        <f t="shared" si="20"/>
        <v>-1</v>
      </c>
      <c r="AI6" s="13">
        <f t="shared" si="21"/>
        <v>6</v>
      </c>
      <c r="AJ6" s="32">
        <v>4</v>
      </c>
      <c r="AK6" s="2">
        <f t="shared" si="22"/>
        <v>0</v>
      </c>
      <c r="AL6" s="13">
        <f t="shared" si="23"/>
        <v>6</v>
      </c>
      <c r="AM6" s="32">
        <v>3</v>
      </c>
      <c r="AN6" s="2">
        <f t="shared" si="24"/>
        <v>-1</v>
      </c>
      <c r="AO6" s="13">
        <f t="shared" si="25"/>
        <v>5</v>
      </c>
      <c r="AP6" s="32">
        <v>4</v>
      </c>
      <c r="AQ6" s="2">
        <f t="shared" si="26"/>
        <v>0</v>
      </c>
      <c r="AR6" s="13">
        <f t="shared" si="27"/>
        <v>5</v>
      </c>
      <c r="AS6" s="32">
        <v>4</v>
      </c>
      <c r="AT6" s="2">
        <f t="shared" si="28"/>
        <v>0</v>
      </c>
      <c r="AU6" s="13">
        <f t="shared" si="29"/>
        <v>5</v>
      </c>
      <c r="AV6" s="32">
        <v>3</v>
      </c>
      <c r="AW6" s="2">
        <f t="shared" si="30"/>
        <v>-1</v>
      </c>
      <c r="AX6" s="13">
        <f t="shared" si="31"/>
        <v>4</v>
      </c>
      <c r="AY6" s="32">
        <v>4</v>
      </c>
      <c r="AZ6" s="2">
        <f t="shared" si="32"/>
        <v>0</v>
      </c>
      <c r="BA6" s="13">
        <f t="shared" si="33"/>
        <v>4</v>
      </c>
      <c r="BB6" s="32">
        <v>4</v>
      </c>
      <c r="BC6" s="2">
        <f t="shared" si="34"/>
        <v>0</v>
      </c>
      <c r="BD6" s="13">
        <f t="shared" si="35"/>
        <v>4</v>
      </c>
      <c r="BF6" t="str">
        <f t="shared" si="36"/>
        <v>Andy</v>
      </c>
      <c r="BG6" t="str">
        <f t="shared" si="37"/>
        <v>Sleigh</v>
      </c>
      <c r="BH6">
        <v>4</v>
      </c>
      <c r="BI6" s="37">
        <v>3</v>
      </c>
      <c r="BJ6" t="s">
        <v>13</v>
      </c>
      <c r="BK6" t="s">
        <v>14</v>
      </c>
      <c r="BL6">
        <v>-11</v>
      </c>
      <c r="BM6" t="s">
        <v>42</v>
      </c>
      <c r="BN6" t="s">
        <v>43</v>
      </c>
      <c r="BO6">
        <v>6</v>
      </c>
      <c r="BP6">
        <v>-14</v>
      </c>
      <c r="BR6" s="1">
        <f t="shared" si="38"/>
        <v>4.2222222222222223</v>
      </c>
    </row>
    <row r="7" spans="1:70" x14ac:dyDescent="0.25">
      <c r="A7" t="s">
        <v>13</v>
      </c>
      <c r="B7" t="s">
        <v>14</v>
      </c>
      <c r="C7" s="31">
        <v>2</v>
      </c>
      <c r="D7" s="2">
        <f t="shared" si="0"/>
        <v>-2</v>
      </c>
      <c r="E7" s="13">
        <f t="shared" si="1"/>
        <v>-2</v>
      </c>
      <c r="F7" s="32">
        <v>4</v>
      </c>
      <c r="G7" s="2">
        <f t="shared" si="2"/>
        <v>0</v>
      </c>
      <c r="H7" s="13">
        <f t="shared" si="3"/>
        <v>-2</v>
      </c>
      <c r="I7" s="32">
        <v>3</v>
      </c>
      <c r="J7" s="2">
        <f t="shared" si="4"/>
        <v>-1</v>
      </c>
      <c r="K7" s="13">
        <f t="shared" si="5"/>
        <v>-3</v>
      </c>
      <c r="L7" s="32">
        <v>4</v>
      </c>
      <c r="M7" s="2">
        <f t="shared" si="6"/>
        <v>0</v>
      </c>
      <c r="N7" s="13">
        <f t="shared" si="7"/>
        <v>-3</v>
      </c>
      <c r="O7" s="32">
        <v>4</v>
      </c>
      <c r="P7" s="2">
        <f t="shared" si="8"/>
        <v>0</v>
      </c>
      <c r="Q7" s="13">
        <f t="shared" si="9"/>
        <v>-3</v>
      </c>
      <c r="R7" s="32">
        <v>2</v>
      </c>
      <c r="S7" s="2">
        <f t="shared" si="10"/>
        <v>-2</v>
      </c>
      <c r="T7" s="13">
        <f t="shared" si="11"/>
        <v>-5</v>
      </c>
      <c r="U7" s="32">
        <v>4</v>
      </c>
      <c r="V7" s="2">
        <f t="shared" si="12"/>
        <v>0</v>
      </c>
      <c r="W7" s="13">
        <f t="shared" si="13"/>
        <v>-5</v>
      </c>
      <c r="X7" s="32">
        <v>4</v>
      </c>
      <c r="Y7" s="2">
        <f t="shared" si="14"/>
        <v>0</v>
      </c>
      <c r="Z7" s="13">
        <f t="shared" si="15"/>
        <v>-5</v>
      </c>
      <c r="AA7" s="32">
        <v>3</v>
      </c>
      <c r="AB7" s="2">
        <f t="shared" si="16"/>
        <v>-1</v>
      </c>
      <c r="AC7" s="13">
        <f t="shared" si="17"/>
        <v>-6</v>
      </c>
      <c r="AD7" s="32">
        <v>6</v>
      </c>
      <c r="AE7" s="2">
        <f t="shared" si="18"/>
        <v>2</v>
      </c>
      <c r="AF7" s="13">
        <f t="shared" si="19"/>
        <v>-4</v>
      </c>
      <c r="AG7" s="32">
        <v>2</v>
      </c>
      <c r="AH7" s="2">
        <f t="shared" si="20"/>
        <v>-2</v>
      </c>
      <c r="AI7" s="13">
        <f t="shared" si="21"/>
        <v>-6</v>
      </c>
      <c r="AJ7" s="32">
        <v>3</v>
      </c>
      <c r="AK7" s="2">
        <f t="shared" si="22"/>
        <v>-1</v>
      </c>
      <c r="AL7" s="13">
        <f t="shared" si="23"/>
        <v>-7</v>
      </c>
      <c r="AM7" s="32">
        <v>3</v>
      </c>
      <c r="AN7" s="2">
        <f t="shared" si="24"/>
        <v>-1</v>
      </c>
      <c r="AO7" s="13">
        <f t="shared" si="25"/>
        <v>-8</v>
      </c>
      <c r="AP7" s="32">
        <v>4</v>
      </c>
      <c r="AQ7" s="2">
        <f t="shared" si="26"/>
        <v>0</v>
      </c>
      <c r="AR7" s="13">
        <f t="shared" si="27"/>
        <v>-8</v>
      </c>
      <c r="AS7" s="32">
        <v>4</v>
      </c>
      <c r="AT7" s="2">
        <f t="shared" si="28"/>
        <v>0</v>
      </c>
      <c r="AU7" s="13">
        <f t="shared" si="29"/>
        <v>-8</v>
      </c>
      <c r="AV7" s="32">
        <v>3</v>
      </c>
      <c r="AW7" s="2">
        <f t="shared" si="30"/>
        <v>-1</v>
      </c>
      <c r="AX7" s="13">
        <f t="shared" si="31"/>
        <v>-9</v>
      </c>
      <c r="AY7" s="32">
        <v>3</v>
      </c>
      <c r="AZ7" s="2">
        <f t="shared" si="32"/>
        <v>-1</v>
      </c>
      <c r="BA7" s="13">
        <f t="shared" si="33"/>
        <v>-10</v>
      </c>
      <c r="BB7" s="32">
        <v>3</v>
      </c>
      <c r="BC7" s="2">
        <f t="shared" si="34"/>
        <v>-1</v>
      </c>
      <c r="BD7" s="13">
        <f t="shared" si="35"/>
        <v>-11</v>
      </c>
      <c r="BF7" t="str">
        <f t="shared" si="36"/>
        <v>Ash</v>
      </c>
      <c r="BG7" t="str">
        <f t="shared" si="37"/>
        <v>Ford-Parker</v>
      </c>
      <c r="BH7">
        <v>-11</v>
      </c>
      <c r="BI7" s="37">
        <v>4</v>
      </c>
      <c r="BJ7" t="s">
        <v>23</v>
      </c>
      <c r="BK7" t="s">
        <v>24</v>
      </c>
      <c r="BL7">
        <v>-9</v>
      </c>
      <c r="BM7" t="s">
        <v>19</v>
      </c>
      <c r="BN7" t="s">
        <v>20</v>
      </c>
      <c r="BO7">
        <v>13</v>
      </c>
      <c r="BP7">
        <v>-12</v>
      </c>
      <c r="BR7" s="1">
        <f t="shared" si="38"/>
        <v>3.3888888888888888</v>
      </c>
    </row>
    <row r="8" spans="1:70" x14ac:dyDescent="0.25">
      <c r="A8" t="s">
        <v>17</v>
      </c>
      <c r="B8" t="s">
        <v>18</v>
      </c>
      <c r="C8" s="31">
        <v>3</v>
      </c>
      <c r="D8" s="2">
        <f t="shared" si="0"/>
        <v>-1</v>
      </c>
      <c r="E8" s="13">
        <f t="shared" si="1"/>
        <v>-1</v>
      </c>
      <c r="F8" s="8">
        <v>7</v>
      </c>
      <c r="G8" s="2">
        <f t="shared" si="2"/>
        <v>3</v>
      </c>
      <c r="H8" s="13">
        <f t="shared" si="3"/>
        <v>2</v>
      </c>
      <c r="I8" s="32">
        <v>5</v>
      </c>
      <c r="J8" s="2">
        <f t="shared" si="4"/>
        <v>1</v>
      </c>
      <c r="K8" s="13">
        <f t="shared" si="5"/>
        <v>3</v>
      </c>
      <c r="L8" s="32">
        <v>5</v>
      </c>
      <c r="M8" s="2">
        <f t="shared" si="6"/>
        <v>1</v>
      </c>
      <c r="N8" s="13">
        <f t="shared" si="7"/>
        <v>4</v>
      </c>
      <c r="O8" s="32">
        <v>4</v>
      </c>
      <c r="P8" s="2">
        <f t="shared" si="8"/>
        <v>0</v>
      </c>
      <c r="Q8" s="13">
        <f t="shared" si="9"/>
        <v>4</v>
      </c>
      <c r="R8" s="32">
        <v>5</v>
      </c>
      <c r="S8" s="2">
        <f t="shared" si="10"/>
        <v>1</v>
      </c>
      <c r="T8" s="13">
        <f t="shared" si="11"/>
        <v>5</v>
      </c>
      <c r="U8" s="32">
        <v>3</v>
      </c>
      <c r="V8" s="2">
        <f t="shared" si="12"/>
        <v>-1</v>
      </c>
      <c r="W8" s="13">
        <f t="shared" si="13"/>
        <v>4</v>
      </c>
      <c r="X8" s="32">
        <v>4</v>
      </c>
      <c r="Y8" s="2">
        <f t="shared" si="14"/>
        <v>0</v>
      </c>
      <c r="Z8" s="13">
        <f t="shared" si="15"/>
        <v>4</v>
      </c>
      <c r="AA8" s="32">
        <v>5</v>
      </c>
      <c r="AB8" s="2">
        <f t="shared" si="16"/>
        <v>1</v>
      </c>
      <c r="AC8" s="13">
        <f t="shared" si="17"/>
        <v>5</v>
      </c>
      <c r="AD8" s="32">
        <v>3</v>
      </c>
      <c r="AE8" s="2">
        <f t="shared" si="18"/>
        <v>-1</v>
      </c>
      <c r="AF8" s="13">
        <f t="shared" si="19"/>
        <v>4</v>
      </c>
      <c r="AG8" s="32">
        <v>4</v>
      </c>
      <c r="AH8" s="2">
        <f t="shared" si="20"/>
        <v>0</v>
      </c>
      <c r="AI8" s="13">
        <f t="shared" si="21"/>
        <v>4</v>
      </c>
      <c r="AJ8" s="32">
        <v>4</v>
      </c>
      <c r="AK8" s="2">
        <f t="shared" si="22"/>
        <v>0</v>
      </c>
      <c r="AL8" s="13">
        <f t="shared" si="23"/>
        <v>4</v>
      </c>
      <c r="AM8" s="32">
        <v>5</v>
      </c>
      <c r="AN8" s="2">
        <f t="shared" si="24"/>
        <v>1</v>
      </c>
      <c r="AO8" s="13">
        <f t="shared" si="25"/>
        <v>5</v>
      </c>
      <c r="AP8" s="32">
        <v>5</v>
      </c>
      <c r="AQ8" s="2">
        <f t="shared" si="26"/>
        <v>1</v>
      </c>
      <c r="AR8" s="13">
        <f t="shared" si="27"/>
        <v>6</v>
      </c>
      <c r="AS8" s="32">
        <v>4</v>
      </c>
      <c r="AT8" s="2">
        <f t="shared" si="28"/>
        <v>0</v>
      </c>
      <c r="AU8" s="13">
        <f t="shared" si="29"/>
        <v>6</v>
      </c>
      <c r="AV8" s="32">
        <v>6</v>
      </c>
      <c r="AW8" s="2">
        <f t="shared" si="30"/>
        <v>2</v>
      </c>
      <c r="AX8" s="13">
        <f t="shared" si="31"/>
        <v>8</v>
      </c>
      <c r="AY8" s="32">
        <v>3</v>
      </c>
      <c r="AZ8" s="2">
        <f t="shared" si="32"/>
        <v>-1</v>
      </c>
      <c r="BA8" s="13">
        <f t="shared" si="33"/>
        <v>7</v>
      </c>
      <c r="BB8" s="32">
        <v>2</v>
      </c>
      <c r="BC8" s="2">
        <f t="shared" si="34"/>
        <v>-2</v>
      </c>
      <c r="BD8" s="13">
        <f t="shared" si="35"/>
        <v>5</v>
      </c>
      <c r="BF8" t="str">
        <f t="shared" si="36"/>
        <v>Charlotte</v>
      </c>
      <c r="BG8" t="str">
        <f t="shared" si="37"/>
        <v>Baxter</v>
      </c>
      <c r="BH8">
        <v>5</v>
      </c>
      <c r="BI8" s="37">
        <v>5</v>
      </c>
      <c r="BJ8" t="s">
        <v>42</v>
      </c>
      <c r="BK8" t="s">
        <v>43</v>
      </c>
      <c r="BL8">
        <v>-8</v>
      </c>
      <c r="BM8" t="s">
        <v>21</v>
      </c>
      <c r="BN8" t="s">
        <v>22</v>
      </c>
      <c r="BO8">
        <v>18</v>
      </c>
      <c r="BP8">
        <v>-9</v>
      </c>
      <c r="BR8" s="1">
        <f t="shared" si="38"/>
        <v>4.2777777777777777</v>
      </c>
    </row>
    <row r="9" spans="1:70" x14ac:dyDescent="0.25">
      <c r="A9" t="s">
        <v>44</v>
      </c>
      <c r="B9" t="s">
        <v>45</v>
      </c>
      <c r="C9" s="31">
        <v>2</v>
      </c>
      <c r="D9" s="2">
        <f t="shared" si="0"/>
        <v>-2</v>
      </c>
      <c r="E9" s="13">
        <f t="shared" si="1"/>
        <v>-2</v>
      </c>
      <c r="F9" s="32">
        <v>4</v>
      </c>
      <c r="G9" s="2">
        <f t="shared" si="2"/>
        <v>0</v>
      </c>
      <c r="H9" s="13">
        <f t="shared" si="3"/>
        <v>-2</v>
      </c>
      <c r="I9" s="32">
        <v>3</v>
      </c>
      <c r="J9" s="2">
        <f t="shared" si="4"/>
        <v>-1</v>
      </c>
      <c r="K9" s="13">
        <f t="shared" si="5"/>
        <v>-3</v>
      </c>
      <c r="L9" s="32">
        <v>3</v>
      </c>
      <c r="M9" s="2">
        <f t="shared" si="6"/>
        <v>-1</v>
      </c>
      <c r="N9" s="13">
        <f t="shared" si="7"/>
        <v>-4</v>
      </c>
      <c r="O9" s="6">
        <f>$C$24</f>
        <v>7</v>
      </c>
      <c r="P9" s="2">
        <f t="shared" si="8"/>
        <v>3</v>
      </c>
      <c r="Q9" s="13">
        <f t="shared" si="9"/>
        <v>-1</v>
      </c>
      <c r="R9" s="32">
        <v>2</v>
      </c>
      <c r="S9" s="2">
        <f t="shared" si="10"/>
        <v>-2</v>
      </c>
      <c r="T9" s="13">
        <f t="shared" si="11"/>
        <v>-3</v>
      </c>
      <c r="U9" s="32">
        <v>4</v>
      </c>
      <c r="V9" s="2">
        <f t="shared" si="12"/>
        <v>0</v>
      </c>
      <c r="W9" s="13">
        <f t="shared" si="13"/>
        <v>-3</v>
      </c>
      <c r="X9" s="32">
        <v>3</v>
      </c>
      <c r="Y9" s="2">
        <f t="shared" si="14"/>
        <v>-1</v>
      </c>
      <c r="Z9" s="13">
        <f t="shared" si="15"/>
        <v>-4</v>
      </c>
      <c r="AA9" s="6">
        <f>$C$24</f>
        <v>7</v>
      </c>
      <c r="AB9" s="2">
        <f t="shared" si="16"/>
        <v>3</v>
      </c>
      <c r="AC9" s="13">
        <f t="shared" si="17"/>
        <v>-1</v>
      </c>
      <c r="AD9" s="32">
        <v>4</v>
      </c>
      <c r="AE9" s="2">
        <f t="shared" si="18"/>
        <v>0</v>
      </c>
      <c r="AF9" s="13">
        <f t="shared" si="19"/>
        <v>-1</v>
      </c>
      <c r="AG9" s="32">
        <v>3</v>
      </c>
      <c r="AH9" s="2">
        <f t="shared" si="20"/>
        <v>-1</v>
      </c>
      <c r="AI9" s="13">
        <f t="shared" si="21"/>
        <v>-2</v>
      </c>
      <c r="AJ9" s="32">
        <v>3</v>
      </c>
      <c r="AK9" s="2">
        <f t="shared" si="22"/>
        <v>-1</v>
      </c>
      <c r="AL9" s="13">
        <f t="shared" si="23"/>
        <v>-3</v>
      </c>
      <c r="AM9" s="32">
        <v>3</v>
      </c>
      <c r="AN9" s="2">
        <f t="shared" si="24"/>
        <v>-1</v>
      </c>
      <c r="AO9" s="13">
        <f t="shared" si="25"/>
        <v>-4</v>
      </c>
      <c r="AP9" s="32">
        <v>4</v>
      </c>
      <c r="AQ9" s="2">
        <f t="shared" si="26"/>
        <v>0</v>
      </c>
      <c r="AR9" s="13">
        <f t="shared" si="27"/>
        <v>-4</v>
      </c>
      <c r="AS9" s="32">
        <v>4</v>
      </c>
      <c r="AT9" s="2">
        <f t="shared" si="28"/>
        <v>0</v>
      </c>
      <c r="AU9" s="13">
        <f t="shared" si="29"/>
        <v>-4</v>
      </c>
      <c r="AV9" s="32">
        <v>4</v>
      </c>
      <c r="AW9" s="2">
        <f t="shared" si="30"/>
        <v>0</v>
      </c>
      <c r="AX9" s="13">
        <f t="shared" si="31"/>
        <v>-4</v>
      </c>
      <c r="AY9" s="32">
        <v>4</v>
      </c>
      <c r="AZ9" s="2">
        <f t="shared" si="32"/>
        <v>0</v>
      </c>
      <c r="BA9" s="13">
        <f t="shared" si="33"/>
        <v>-4</v>
      </c>
      <c r="BB9" s="32">
        <v>3</v>
      </c>
      <c r="BC9" s="2">
        <f t="shared" si="34"/>
        <v>-1</v>
      </c>
      <c r="BD9" s="13">
        <f t="shared" si="35"/>
        <v>-5</v>
      </c>
      <c r="BF9" t="str">
        <f t="shared" si="36"/>
        <v>Dave</v>
      </c>
      <c r="BG9" t="str">
        <f t="shared" si="37"/>
        <v>Hadgraft</v>
      </c>
      <c r="BH9">
        <v>-5</v>
      </c>
      <c r="BI9" s="37">
        <v>6</v>
      </c>
      <c r="BJ9" t="s">
        <v>44</v>
      </c>
      <c r="BK9" t="s">
        <v>45</v>
      </c>
      <c r="BL9">
        <v>-5</v>
      </c>
      <c r="BM9" t="s">
        <v>38</v>
      </c>
      <c r="BN9" t="s">
        <v>10</v>
      </c>
      <c r="BO9">
        <v>17</v>
      </c>
      <c r="BP9">
        <v>-7</v>
      </c>
      <c r="BR9" s="1">
        <f t="shared" si="38"/>
        <v>3.7222222222222223</v>
      </c>
    </row>
    <row r="10" spans="1:70" x14ac:dyDescent="0.25">
      <c r="A10" t="s">
        <v>32</v>
      </c>
      <c r="B10" t="s">
        <v>33</v>
      </c>
      <c r="C10" s="31">
        <v>5</v>
      </c>
      <c r="D10" s="2">
        <f t="shared" si="0"/>
        <v>1</v>
      </c>
      <c r="E10" s="13">
        <f t="shared" si="1"/>
        <v>1</v>
      </c>
      <c r="F10" s="8">
        <v>7</v>
      </c>
      <c r="G10" s="2">
        <f t="shared" si="2"/>
        <v>3</v>
      </c>
      <c r="H10" s="13">
        <f t="shared" si="3"/>
        <v>4</v>
      </c>
      <c r="I10" s="32">
        <v>4</v>
      </c>
      <c r="J10" s="2">
        <f t="shared" si="4"/>
        <v>0</v>
      </c>
      <c r="K10" s="13">
        <f t="shared" si="5"/>
        <v>4</v>
      </c>
      <c r="L10" s="32">
        <v>3</v>
      </c>
      <c r="M10" s="2">
        <f t="shared" si="6"/>
        <v>-1</v>
      </c>
      <c r="N10" s="13">
        <f t="shared" si="7"/>
        <v>3</v>
      </c>
      <c r="O10" s="32">
        <v>3</v>
      </c>
      <c r="P10" s="2">
        <f t="shared" si="8"/>
        <v>-1</v>
      </c>
      <c r="Q10" s="13">
        <f t="shared" si="9"/>
        <v>2</v>
      </c>
      <c r="R10" s="32">
        <v>4</v>
      </c>
      <c r="S10" s="2">
        <f t="shared" si="10"/>
        <v>0</v>
      </c>
      <c r="T10" s="13">
        <f t="shared" si="11"/>
        <v>2</v>
      </c>
      <c r="U10" s="32">
        <v>3</v>
      </c>
      <c r="V10" s="2">
        <f t="shared" si="12"/>
        <v>-1</v>
      </c>
      <c r="W10" s="13">
        <f t="shared" si="13"/>
        <v>1</v>
      </c>
      <c r="X10" s="32">
        <v>3</v>
      </c>
      <c r="Y10" s="2">
        <f t="shared" si="14"/>
        <v>-1</v>
      </c>
      <c r="Z10" s="13">
        <f t="shared" si="15"/>
        <v>0</v>
      </c>
      <c r="AA10" s="8">
        <v>7</v>
      </c>
      <c r="AB10" s="2">
        <f t="shared" si="16"/>
        <v>3</v>
      </c>
      <c r="AC10" s="13">
        <f t="shared" si="17"/>
        <v>3</v>
      </c>
      <c r="AD10" s="32">
        <v>4</v>
      </c>
      <c r="AE10" s="2">
        <f t="shared" si="18"/>
        <v>0</v>
      </c>
      <c r="AF10" s="13">
        <f t="shared" si="19"/>
        <v>3</v>
      </c>
      <c r="AG10" s="32">
        <v>4</v>
      </c>
      <c r="AH10" s="2">
        <f t="shared" si="20"/>
        <v>0</v>
      </c>
      <c r="AI10" s="13">
        <f t="shared" si="21"/>
        <v>3</v>
      </c>
      <c r="AJ10" s="32">
        <v>5</v>
      </c>
      <c r="AK10" s="2">
        <f t="shared" si="22"/>
        <v>1</v>
      </c>
      <c r="AL10" s="13">
        <f t="shared" si="23"/>
        <v>4</v>
      </c>
      <c r="AM10" s="32">
        <v>5</v>
      </c>
      <c r="AN10" s="2">
        <f t="shared" si="24"/>
        <v>1</v>
      </c>
      <c r="AO10" s="13">
        <f t="shared" si="25"/>
        <v>5</v>
      </c>
      <c r="AP10" s="32">
        <v>4</v>
      </c>
      <c r="AQ10" s="2">
        <f t="shared" si="26"/>
        <v>0</v>
      </c>
      <c r="AR10" s="13">
        <f t="shared" si="27"/>
        <v>5</v>
      </c>
      <c r="AS10" s="32">
        <v>3</v>
      </c>
      <c r="AT10" s="2">
        <f t="shared" si="28"/>
        <v>-1</v>
      </c>
      <c r="AU10" s="13">
        <f t="shared" si="29"/>
        <v>4</v>
      </c>
      <c r="AV10" s="32">
        <v>4</v>
      </c>
      <c r="AW10" s="2">
        <f t="shared" si="30"/>
        <v>0</v>
      </c>
      <c r="AX10" s="13">
        <f t="shared" si="31"/>
        <v>4</v>
      </c>
      <c r="AY10" s="32">
        <v>4</v>
      </c>
      <c r="AZ10" s="2">
        <f t="shared" si="32"/>
        <v>0</v>
      </c>
      <c r="BA10" s="13">
        <f t="shared" si="33"/>
        <v>4</v>
      </c>
      <c r="BB10" s="6">
        <f>$C$24</f>
        <v>7</v>
      </c>
      <c r="BC10" s="2">
        <f t="shared" si="34"/>
        <v>3</v>
      </c>
      <c r="BD10" s="13">
        <f t="shared" si="35"/>
        <v>7</v>
      </c>
      <c r="BF10" t="str">
        <f t="shared" si="36"/>
        <v>Ian</v>
      </c>
      <c r="BG10" t="str">
        <f t="shared" si="37"/>
        <v>Cheslett</v>
      </c>
      <c r="BH10">
        <v>7</v>
      </c>
      <c r="BI10" s="37">
        <v>7</v>
      </c>
      <c r="BJ10" t="s">
        <v>36</v>
      </c>
      <c r="BK10" t="s">
        <v>37</v>
      </c>
      <c r="BL10">
        <v>0</v>
      </c>
      <c r="BM10" t="s">
        <v>23</v>
      </c>
      <c r="BN10" t="s">
        <v>24</v>
      </c>
      <c r="BO10">
        <v>-3</v>
      </c>
      <c r="BP10">
        <v>-6</v>
      </c>
      <c r="BR10" s="1">
        <f t="shared" si="38"/>
        <v>4.3888888888888893</v>
      </c>
    </row>
    <row r="11" spans="1:70" x14ac:dyDescent="0.25">
      <c r="A11" t="s">
        <v>34</v>
      </c>
      <c r="B11" t="s">
        <v>35</v>
      </c>
      <c r="C11" s="31">
        <v>4</v>
      </c>
      <c r="D11" s="2">
        <f t="shared" si="0"/>
        <v>0</v>
      </c>
      <c r="E11" s="13">
        <f t="shared" si="1"/>
        <v>0</v>
      </c>
      <c r="F11" s="8">
        <v>7</v>
      </c>
      <c r="G11" s="2">
        <f t="shared" si="2"/>
        <v>3</v>
      </c>
      <c r="H11" s="13">
        <f t="shared" si="3"/>
        <v>3</v>
      </c>
      <c r="I11" s="32">
        <v>3</v>
      </c>
      <c r="J11" s="2">
        <f t="shared" si="4"/>
        <v>-1</v>
      </c>
      <c r="K11" s="13">
        <f t="shared" si="5"/>
        <v>2</v>
      </c>
      <c r="L11" s="32">
        <v>4</v>
      </c>
      <c r="M11" s="2">
        <f t="shared" si="6"/>
        <v>0</v>
      </c>
      <c r="N11" s="13">
        <f t="shared" si="7"/>
        <v>2</v>
      </c>
      <c r="O11" s="32">
        <v>4</v>
      </c>
      <c r="P11" s="2">
        <f t="shared" si="8"/>
        <v>0</v>
      </c>
      <c r="Q11" s="13">
        <f t="shared" si="9"/>
        <v>2</v>
      </c>
      <c r="R11" s="32">
        <v>3</v>
      </c>
      <c r="S11" s="2">
        <f t="shared" si="10"/>
        <v>-1</v>
      </c>
      <c r="T11" s="13">
        <f t="shared" si="11"/>
        <v>1</v>
      </c>
      <c r="U11" s="32">
        <v>5</v>
      </c>
      <c r="V11" s="2">
        <f t="shared" si="12"/>
        <v>1</v>
      </c>
      <c r="W11" s="13">
        <f t="shared" si="13"/>
        <v>2</v>
      </c>
      <c r="X11" s="32">
        <v>5</v>
      </c>
      <c r="Y11" s="2">
        <f t="shared" si="14"/>
        <v>1</v>
      </c>
      <c r="Z11" s="13">
        <f t="shared" si="15"/>
        <v>3</v>
      </c>
      <c r="AA11" s="32">
        <v>4</v>
      </c>
      <c r="AB11" s="2">
        <f t="shared" si="16"/>
        <v>0</v>
      </c>
      <c r="AC11" s="13">
        <f t="shared" si="17"/>
        <v>3</v>
      </c>
      <c r="AD11" s="32">
        <v>5</v>
      </c>
      <c r="AE11" s="2">
        <f t="shared" si="18"/>
        <v>1</v>
      </c>
      <c r="AF11" s="13">
        <f t="shared" si="19"/>
        <v>4</v>
      </c>
      <c r="AG11" s="32">
        <v>3</v>
      </c>
      <c r="AH11" s="2">
        <f t="shared" si="20"/>
        <v>-1</v>
      </c>
      <c r="AI11" s="13">
        <f t="shared" si="21"/>
        <v>3</v>
      </c>
      <c r="AJ11" s="32">
        <v>3</v>
      </c>
      <c r="AK11" s="2">
        <f t="shared" si="22"/>
        <v>-1</v>
      </c>
      <c r="AL11" s="13">
        <f t="shared" si="23"/>
        <v>2</v>
      </c>
      <c r="AM11" s="32">
        <v>5</v>
      </c>
      <c r="AN11" s="2">
        <f t="shared" si="24"/>
        <v>1</v>
      </c>
      <c r="AO11" s="13">
        <f t="shared" si="25"/>
        <v>3</v>
      </c>
      <c r="AP11" s="32">
        <v>4</v>
      </c>
      <c r="AQ11" s="2">
        <f t="shared" si="26"/>
        <v>0</v>
      </c>
      <c r="AR11" s="13">
        <f t="shared" si="27"/>
        <v>3</v>
      </c>
      <c r="AS11" s="32">
        <v>3</v>
      </c>
      <c r="AT11" s="2">
        <f t="shared" si="28"/>
        <v>-1</v>
      </c>
      <c r="AU11" s="13">
        <f t="shared" si="29"/>
        <v>2</v>
      </c>
      <c r="AV11" s="32">
        <v>4</v>
      </c>
      <c r="AW11" s="2">
        <f t="shared" si="30"/>
        <v>0</v>
      </c>
      <c r="AX11" s="13">
        <f t="shared" si="31"/>
        <v>2</v>
      </c>
      <c r="AY11" s="32">
        <v>5</v>
      </c>
      <c r="AZ11" s="2">
        <f t="shared" si="32"/>
        <v>1</v>
      </c>
      <c r="BA11" s="13">
        <f t="shared" si="33"/>
        <v>3</v>
      </c>
      <c r="BB11" s="32">
        <v>3</v>
      </c>
      <c r="BC11" s="2">
        <f t="shared" si="34"/>
        <v>-1</v>
      </c>
      <c r="BD11" s="13">
        <f t="shared" si="35"/>
        <v>2</v>
      </c>
      <c r="BF11" t="str">
        <f t="shared" si="36"/>
        <v>Jill</v>
      </c>
      <c r="BG11" t="str">
        <f t="shared" si="37"/>
        <v>Stevens</v>
      </c>
      <c r="BH11">
        <v>2</v>
      </c>
      <c r="BI11" s="37">
        <v>8</v>
      </c>
      <c r="BJ11" t="s">
        <v>46</v>
      </c>
      <c r="BK11" t="s">
        <v>47</v>
      </c>
      <c r="BL11">
        <v>0</v>
      </c>
      <c r="BM11" t="s">
        <v>17</v>
      </c>
      <c r="BN11" t="s">
        <v>18</v>
      </c>
      <c r="BO11">
        <v>10</v>
      </c>
      <c r="BP11">
        <v>-5</v>
      </c>
      <c r="BR11" s="1">
        <f t="shared" si="38"/>
        <v>4.1111111111111107</v>
      </c>
    </row>
    <row r="12" spans="1:70" x14ac:dyDescent="0.25">
      <c r="A12" t="s">
        <v>15</v>
      </c>
      <c r="B12" t="s">
        <v>16</v>
      </c>
      <c r="C12" s="31">
        <v>4</v>
      </c>
      <c r="D12" s="2">
        <f t="shared" si="0"/>
        <v>0</v>
      </c>
      <c r="E12" s="13">
        <f t="shared" si="1"/>
        <v>0</v>
      </c>
      <c r="F12" s="32">
        <v>5</v>
      </c>
      <c r="G12" s="2">
        <f t="shared" si="2"/>
        <v>1</v>
      </c>
      <c r="H12" s="13">
        <f t="shared" si="3"/>
        <v>1</v>
      </c>
      <c r="I12" s="32">
        <v>3</v>
      </c>
      <c r="J12" s="2">
        <f t="shared" si="4"/>
        <v>-1</v>
      </c>
      <c r="K12" s="13">
        <f t="shared" si="5"/>
        <v>0</v>
      </c>
      <c r="L12" s="32">
        <v>4</v>
      </c>
      <c r="M12" s="2">
        <f t="shared" si="6"/>
        <v>0</v>
      </c>
      <c r="N12" s="13">
        <f t="shared" si="7"/>
        <v>0</v>
      </c>
      <c r="O12" s="8">
        <v>7</v>
      </c>
      <c r="P12" s="2">
        <f t="shared" si="8"/>
        <v>3</v>
      </c>
      <c r="Q12" s="13">
        <f t="shared" si="9"/>
        <v>3</v>
      </c>
      <c r="R12" s="32">
        <v>6</v>
      </c>
      <c r="S12" s="2">
        <f t="shared" si="10"/>
        <v>2</v>
      </c>
      <c r="T12" s="13">
        <f t="shared" si="11"/>
        <v>5</v>
      </c>
      <c r="U12" s="32">
        <v>3</v>
      </c>
      <c r="V12" s="2">
        <f t="shared" si="12"/>
        <v>-1</v>
      </c>
      <c r="W12" s="13">
        <f t="shared" si="13"/>
        <v>4</v>
      </c>
      <c r="X12" s="32">
        <v>6</v>
      </c>
      <c r="Y12" s="2">
        <f t="shared" si="14"/>
        <v>2</v>
      </c>
      <c r="Z12" s="13">
        <f t="shared" si="15"/>
        <v>6</v>
      </c>
      <c r="AA12" s="32">
        <v>3</v>
      </c>
      <c r="AB12" s="2">
        <f t="shared" si="16"/>
        <v>-1</v>
      </c>
      <c r="AC12" s="13">
        <f t="shared" si="17"/>
        <v>5</v>
      </c>
      <c r="AD12" s="32">
        <v>2</v>
      </c>
      <c r="AE12" s="2">
        <f t="shared" si="18"/>
        <v>-2</v>
      </c>
      <c r="AF12" s="13">
        <f t="shared" si="19"/>
        <v>3</v>
      </c>
      <c r="AG12" s="32">
        <v>2</v>
      </c>
      <c r="AH12" s="2">
        <f t="shared" si="20"/>
        <v>-2</v>
      </c>
      <c r="AI12" s="13">
        <f t="shared" si="21"/>
        <v>1</v>
      </c>
      <c r="AJ12" s="32">
        <v>3</v>
      </c>
      <c r="AK12" s="2">
        <f t="shared" si="22"/>
        <v>-1</v>
      </c>
      <c r="AL12" s="13">
        <f t="shared" si="23"/>
        <v>0</v>
      </c>
      <c r="AM12" s="32">
        <v>5</v>
      </c>
      <c r="AN12" s="2">
        <f t="shared" si="24"/>
        <v>1</v>
      </c>
      <c r="AO12" s="13">
        <f t="shared" si="25"/>
        <v>1</v>
      </c>
      <c r="AP12" s="6">
        <f>$C$24</f>
        <v>7</v>
      </c>
      <c r="AQ12" s="2">
        <f t="shared" si="26"/>
        <v>3</v>
      </c>
      <c r="AR12" s="13">
        <f t="shared" si="27"/>
        <v>4</v>
      </c>
      <c r="AS12" s="32">
        <v>3</v>
      </c>
      <c r="AT12" s="2">
        <f t="shared" si="28"/>
        <v>-1</v>
      </c>
      <c r="AU12" s="13">
        <f t="shared" si="29"/>
        <v>3</v>
      </c>
      <c r="AV12" s="32">
        <v>5</v>
      </c>
      <c r="AW12" s="2">
        <f t="shared" si="30"/>
        <v>1</v>
      </c>
      <c r="AX12" s="13">
        <f t="shared" si="31"/>
        <v>4</v>
      </c>
      <c r="AY12" s="32">
        <v>4</v>
      </c>
      <c r="AZ12" s="2">
        <f t="shared" si="32"/>
        <v>0</v>
      </c>
      <c r="BA12" s="13">
        <f t="shared" si="33"/>
        <v>4</v>
      </c>
      <c r="BB12" s="32">
        <v>3</v>
      </c>
      <c r="BC12" s="2">
        <f t="shared" si="34"/>
        <v>-1</v>
      </c>
      <c r="BD12" s="13">
        <f t="shared" si="35"/>
        <v>3</v>
      </c>
      <c r="BF12" t="str">
        <f t="shared" si="36"/>
        <v>Joe</v>
      </c>
      <c r="BG12" t="str">
        <f t="shared" si="37"/>
        <v>Cunningham</v>
      </c>
      <c r="BH12">
        <v>3</v>
      </c>
      <c r="BI12" s="37">
        <v>9</v>
      </c>
      <c r="BJ12" t="s">
        <v>19</v>
      </c>
      <c r="BK12" t="s">
        <v>20</v>
      </c>
      <c r="BL12">
        <v>1</v>
      </c>
      <c r="BM12" t="s">
        <v>21</v>
      </c>
      <c r="BN12" t="s">
        <v>31</v>
      </c>
      <c r="BO12">
        <v>-16</v>
      </c>
      <c r="BP12">
        <v>-4</v>
      </c>
      <c r="BR12" s="1">
        <f t="shared" si="38"/>
        <v>4.166666666666667</v>
      </c>
    </row>
    <row r="13" spans="1:70" x14ac:dyDescent="0.25">
      <c r="A13" t="s">
        <v>29</v>
      </c>
      <c r="B13" t="s">
        <v>30</v>
      </c>
      <c r="C13" s="31">
        <v>2</v>
      </c>
      <c r="D13" s="2">
        <f t="shared" si="0"/>
        <v>-2</v>
      </c>
      <c r="E13" s="13">
        <f t="shared" si="1"/>
        <v>-2</v>
      </c>
      <c r="F13" s="32">
        <v>3</v>
      </c>
      <c r="G13" s="2">
        <f t="shared" si="2"/>
        <v>-1</v>
      </c>
      <c r="H13" s="13">
        <f t="shared" si="3"/>
        <v>-3</v>
      </c>
      <c r="I13" s="32">
        <v>3</v>
      </c>
      <c r="J13" s="2">
        <f t="shared" si="4"/>
        <v>-1</v>
      </c>
      <c r="K13" s="13">
        <f t="shared" si="5"/>
        <v>-4</v>
      </c>
      <c r="L13" s="32">
        <v>2</v>
      </c>
      <c r="M13" s="2">
        <f t="shared" si="6"/>
        <v>-2</v>
      </c>
      <c r="N13" s="13">
        <f t="shared" si="7"/>
        <v>-6</v>
      </c>
      <c r="O13" s="32">
        <v>3</v>
      </c>
      <c r="P13" s="2">
        <f t="shared" si="8"/>
        <v>-1</v>
      </c>
      <c r="Q13" s="13">
        <f t="shared" si="9"/>
        <v>-7</v>
      </c>
      <c r="R13" s="32">
        <v>2</v>
      </c>
      <c r="S13" s="2">
        <f t="shared" si="10"/>
        <v>-2</v>
      </c>
      <c r="T13" s="13">
        <f t="shared" si="11"/>
        <v>-9</v>
      </c>
      <c r="U13" s="32">
        <v>3</v>
      </c>
      <c r="V13" s="2">
        <f t="shared" si="12"/>
        <v>-1</v>
      </c>
      <c r="W13" s="13">
        <f t="shared" si="13"/>
        <v>-10</v>
      </c>
      <c r="X13" s="32">
        <v>3</v>
      </c>
      <c r="Y13" s="2">
        <f t="shared" si="14"/>
        <v>-1</v>
      </c>
      <c r="Z13" s="13">
        <f t="shared" si="15"/>
        <v>-11</v>
      </c>
      <c r="AA13" s="32">
        <v>3</v>
      </c>
      <c r="AB13" s="2">
        <f t="shared" si="16"/>
        <v>-1</v>
      </c>
      <c r="AC13" s="13">
        <f t="shared" si="17"/>
        <v>-12</v>
      </c>
      <c r="AD13" s="32">
        <v>3</v>
      </c>
      <c r="AE13" s="2">
        <f t="shared" si="18"/>
        <v>-1</v>
      </c>
      <c r="AF13" s="13">
        <f t="shared" si="19"/>
        <v>-13</v>
      </c>
      <c r="AG13" s="32">
        <v>2</v>
      </c>
      <c r="AH13" s="2">
        <f t="shared" si="20"/>
        <v>-2</v>
      </c>
      <c r="AI13" s="13">
        <f t="shared" si="21"/>
        <v>-15</v>
      </c>
      <c r="AJ13" s="32">
        <v>2</v>
      </c>
      <c r="AK13" s="2">
        <f t="shared" si="22"/>
        <v>-2</v>
      </c>
      <c r="AL13" s="13">
        <f t="shared" si="23"/>
        <v>-17</v>
      </c>
      <c r="AM13" s="32">
        <v>3</v>
      </c>
      <c r="AN13" s="2">
        <f t="shared" si="24"/>
        <v>-1</v>
      </c>
      <c r="AO13" s="13">
        <f t="shared" si="25"/>
        <v>-18</v>
      </c>
      <c r="AP13" s="32">
        <v>3</v>
      </c>
      <c r="AQ13" s="2">
        <f t="shared" si="26"/>
        <v>-1</v>
      </c>
      <c r="AR13" s="13">
        <f t="shared" si="27"/>
        <v>-19</v>
      </c>
      <c r="AS13" s="32">
        <v>3</v>
      </c>
      <c r="AT13" s="2">
        <f t="shared" si="28"/>
        <v>-1</v>
      </c>
      <c r="AU13" s="13">
        <f t="shared" si="29"/>
        <v>-20</v>
      </c>
      <c r="AV13" s="32">
        <v>3</v>
      </c>
      <c r="AW13" s="2">
        <f t="shared" si="30"/>
        <v>-1</v>
      </c>
      <c r="AX13" s="13">
        <f t="shared" si="31"/>
        <v>-21</v>
      </c>
      <c r="AY13" s="32">
        <v>3</v>
      </c>
      <c r="AZ13" s="2">
        <f t="shared" si="32"/>
        <v>-1</v>
      </c>
      <c r="BA13" s="13">
        <f t="shared" si="33"/>
        <v>-22</v>
      </c>
      <c r="BB13" s="32">
        <v>3</v>
      </c>
      <c r="BC13" s="2">
        <f t="shared" si="34"/>
        <v>-1</v>
      </c>
      <c r="BD13" s="13">
        <f t="shared" si="35"/>
        <v>-23</v>
      </c>
      <c r="BF13" t="str">
        <f t="shared" si="36"/>
        <v>Josie</v>
      </c>
      <c r="BG13" t="str">
        <f t="shared" si="37"/>
        <v>Hart</v>
      </c>
      <c r="BH13">
        <v>-23</v>
      </c>
      <c r="BI13" s="37">
        <v>10</v>
      </c>
      <c r="BJ13" t="s">
        <v>34</v>
      </c>
      <c r="BK13" t="s">
        <v>35</v>
      </c>
      <c r="BL13">
        <v>2</v>
      </c>
      <c r="BM13" t="s">
        <v>34</v>
      </c>
      <c r="BN13" t="s">
        <v>35</v>
      </c>
      <c r="BO13">
        <v>5</v>
      </c>
      <c r="BP13">
        <v>-3</v>
      </c>
      <c r="BR13" s="1">
        <f t="shared" si="38"/>
        <v>2.7222222222222223</v>
      </c>
    </row>
    <row r="14" spans="1:70" x14ac:dyDescent="0.25">
      <c r="A14" t="s">
        <v>36</v>
      </c>
      <c r="B14" t="s">
        <v>37</v>
      </c>
      <c r="C14" s="31">
        <v>4</v>
      </c>
      <c r="D14" s="2">
        <f t="shared" si="0"/>
        <v>0</v>
      </c>
      <c r="E14" s="13">
        <f t="shared" si="1"/>
        <v>0</v>
      </c>
      <c r="F14" s="8">
        <v>7</v>
      </c>
      <c r="G14" s="2">
        <f t="shared" si="2"/>
        <v>3</v>
      </c>
      <c r="H14" s="13">
        <f t="shared" si="3"/>
        <v>3</v>
      </c>
      <c r="I14" s="32">
        <v>4</v>
      </c>
      <c r="J14" s="2">
        <f t="shared" si="4"/>
        <v>0</v>
      </c>
      <c r="K14" s="13">
        <f t="shared" si="5"/>
        <v>3</v>
      </c>
      <c r="L14" s="32">
        <v>3</v>
      </c>
      <c r="M14" s="2">
        <f t="shared" si="6"/>
        <v>-1</v>
      </c>
      <c r="N14" s="13">
        <f t="shared" si="7"/>
        <v>2</v>
      </c>
      <c r="O14" s="32">
        <v>3</v>
      </c>
      <c r="P14" s="2">
        <f t="shared" si="8"/>
        <v>-1</v>
      </c>
      <c r="Q14" s="13">
        <f t="shared" si="9"/>
        <v>1</v>
      </c>
      <c r="R14" s="32">
        <v>3</v>
      </c>
      <c r="S14" s="2">
        <f t="shared" si="10"/>
        <v>-1</v>
      </c>
      <c r="T14" s="13">
        <f t="shared" si="11"/>
        <v>0</v>
      </c>
      <c r="U14" s="32">
        <v>3</v>
      </c>
      <c r="V14" s="2">
        <f t="shared" si="12"/>
        <v>-1</v>
      </c>
      <c r="W14" s="13">
        <f t="shared" si="13"/>
        <v>-1</v>
      </c>
      <c r="X14" s="32">
        <v>4</v>
      </c>
      <c r="Y14" s="2">
        <f t="shared" si="14"/>
        <v>0</v>
      </c>
      <c r="Z14" s="13">
        <f t="shared" si="15"/>
        <v>-1</v>
      </c>
      <c r="AA14" s="32">
        <v>4</v>
      </c>
      <c r="AB14" s="2">
        <f t="shared" si="16"/>
        <v>0</v>
      </c>
      <c r="AC14" s="13">
        <f t="shared" si="17"/>
        <v>-1</v>
      </c>
      <c r="AD14" s="6">
        <f>$C$24</f>
        <v>7</v>
      </c>
      <c r="AE14" s="2">
        <f t="shared" si="18"/>
        <v>3</v>
      </c>
      <c r="AF14" s="13">
        <f t="shared" si="19"/>
        <v>2</v>
      </c>
      <c r="AG14" s="32">
        <v>3</v>
      </c>
      <c r="AH14" s="2">
        <f t="shared" si="20"/>
        <v>-1</v>
      </c>
      <c r="AI14" s="13">
        <f t="shared" si="21"/>
        <v>1</v>
      </c>
      <c r="AJ14" s="32">
        <v>5</v>
      </c>
      <c r="AK14" s="2">
        <f t="shared" si="22"/>
        <v>1</v>
      </c>
      <c r="AL14" s="13">
        <f t="shared" si="23"/>
        <v>2</v>
      </c>
      <c r="AM14" s="32">
        <v>6</v>
      </c>
      <c r="AN14" s="2">
        <f t="shared" si="24"/>
        <v>2</v>
      </c>
      <c r="AO14" s="13">
        <f t="shared" si="25"/>
        <v>4</v>
      </c>
      <c r="AP14" s="32">
        <v>3</v>
      </c>
      <c r="AQ14" s="2">
        <f t="shared" si="26"/>
        <v>-1</v>
      </c>
      <c r="AR14" s="13">
        <f t="shared" si="27"/>
        <v>3</v>
      </c>
      <c r="AS14" s="32">
        <v>3</v>
      </c>
      <c r="AT14" s="2">
        <f t="shared" si="28"/>
        <v>-1</v>
      </c>
      <c r="AU14" s="13">
        <f t="shared" si="29"/>
        <v>2</v>
      </c>
      <c r="AV14" s="32">
        <v>3</v>
      </c>
      <c r="AW14" s="2">
        <f t="shared" si="30"/>
        <v>-1</v>
      </c>
      <c r="AX14" s="13">
        <f t="shared" si="31"/>
        <v>1</v>
      </c>
      <c r="AY14" s="32">
        <v>4</v>
      </c>
      <c r="AZ14" s="2">
        <f t="shared" si="32"/>
        <v>0</v>
      </c>
      <c r="BA14" s="13">
        <f t="shared" si="33"/>
        <v>1</v>
      </c>
      <c r="BB14" s="32">
        <v>3</v>
      </c>
      <c r="BC14" s="2">
        <f t="shared" si="34"/>
        <v>-1</v>
      </c>
      <c r="BD14" s="13">
        <f t="shared" si="35"/>
        <v>0</v>
      </c>
      <c r="BF14" t="str">
        <f t="shared" si="36"/>
        <v>Marella</v>
      </c>
      <c r="BG14" t="str">
        <f t="shared" si="37"/>
        <v>Cairns</v>
      </c>
      <c r="BH14">
        <v>0</v>
      </c>
      <c r="BI14" s="37">
        <v>11</v>
      </c>
      <c r="BJ14" t="s">
        <v>15</v>
      </c>
      <c r="BK14" t="s">
        <v>16</v>
      </c>
      <c r="BL14">
        <v>3</v>
      </c>
      <c r="BM14" t="s">
        <v>44</v>
      </c>
      <c r="BN14" t="s">
        <v>45</v>
      </c>
      <c r="BO14">
        <v>-4</v>
      </c>
      <c r="BP14">
        <v>-1</v>
      </c>
      <c r="BR14" s="1">
        <f t="shared" si="38"/>
        <v>4</v>
      </c>
    </row>
    <row r="15" spans="1:70" x14ac:dyDescent="0.25">
      <c r="A15" t="s">
        <v>19</v>
      </c>
      <c r="B15" t="s">
        <v>20</v>
      </c>
      <c r="C15" s="31">
        <v>5</v>
      </c>
      <c r="D15" s="2">
        <f t="shared" si="0"/>
        <v>1</v>
      </c>
      <c r="E15" s="13">
        <f t="shared" si="1"/>
        <v>1</v>
      </c>
      <c r="F15" s="32">
        <v>5</v>
      </c>
      <c r="G15" s="2">
        <f t="shared" si="2"/>
        <v>1</v>
      </c>
      <c r="H15" s="13">
        <f t="shared" si="3"/>
        <v>2</v>
      </c>
      <c r="I15" s="32">
        <v>3</v>
      </c>
      <c r="J15" s="2">
        <f t="shared" si="4"/>
        <v>-1</v>
      </c>
      <c r="K15" s="13">
        <f t="shared" si="5"/>
        <v>1</v>
      </c>
      <c r="L15" s="32">
        <v>4</v>
      </c>
      <c r="M15" s="2">
        <f t="shared" si="6"/>
        <v>0</v>
      </c>
      <c r="N15" s="13">
        <f t="shared" si="7"/>
        <v>1</v>
      </c>
      <c r="O15" s="32">
        <v>5</v>
      </c>
      <c r="P15" s="2">
        <f t="shared" si="8"/>
        <v>1</v>
      </c>
      <c r="Q15" s="13">
        <f t="shared" si="9"/>
        <v>2</v>
      </c>
      <c r="R15" s="32">
        <v>4</v>
      </c>
      <c r="S15" s="2">
        <f t="shared" si="10"/>
        <v>0</v>
      </c>
      <c r="T15" s="13">
        <f t="shared" si="11"/>
        <v>2</v>
      </c>
      <c r="U15" s="32">
        <v>3</v>
      </c>
      <c r="V15" s="2">
        <f t="shared" si="12"/>
        <v>-1</v>
      </c>
      <c r="W15" s="13">
        <f t="shared" si="13"/>
        <v>1</v>
      </c>
      <c r="X15" s="32">
        <v>4</v>
      </c>
      <c r="Y15" s="2">
        <f t="shared" si="14"/>
        <v>0</v>
      </c>
      <c r="Z15" s="13">
        <f t="shared" si="15"/>
        <v>1</v>
      </c>
      <c r="AA15" s="32">
        <v>4</v>
      </c>
      <c r="AB15" s="2">
        <f t="shared" si="16"/>
        <v>0</v>
      </c>
      <c r="AC15" s="13">
        <f t="shared" si="17"/>
        <v>1</v>
      </c>
      <c r="AD15" s="32">
        <v>4</v>
      </c>
      <c r="AE15" s="2">
        <f t="shared" si="18"/>
        <v>0</v>
      </c>
      <c r="AF15" s="13">
        <f t="shared" si="19"/>
        <v>1</v>
      </c>
      <c r="AG15" s="32">
        <v>3</v>
      </c>
      <c r="AH15" s="2">
        <f t="shared" si="20"/>
        <v>-1</v>
      </c>
      <c r="AI15" s="13">
        <f t="shared" si="21"/>
        <v>0</v>
      </c>
      <c r="AJ15" s="32">
        <v>4</v>
      </c>
      <c r="AK15" s="2">
        <f t="shared" si="22"/>
        <v>0</v>
      </c>
      <c r="AL15" s="13">
        <f t="shared" si="23"/>
        <v>0</v>
      </c>
      <c r="AM15" s="32">
        <v>4</v>
      </c>
      <c r="AN15" s="2">
        <f t="shared" si="24"/>
        <v>0</v>
      </c>
      <c r="AO15" s="13">
        <f t="shared" si="25"/>
        <v>0</v>
      </c>
      <c r="AP15" s="32">
        <v>3</v>
      </c>
      <c r="AQ15" s="2">
        <f t="shared" si="26"/>
        <v>-1</v>
      </c>
      <c r="AR15" s="13">
        <f t="shared" si="27"/>
        <v>-1</v>
      </c>
      <c r="AS15" s="32">
        <v>3</v>
      </c>
      <c r="AT15" s="2">
        <f t="shared" si="28"/>
        <v>-1</v>
      </c>
      <c r="AU15" s="13">
        <f t="shared" si="29"/>
        <v>-2</v>
      </c>
      <c r="AV15" s="32">
        <v>4</v>
      </c>
      <c r="AW15" s="2">
        <f t="shared" si="30"/>
        <v>0</v>
      </c>
      <c r="AX15" s="13">
        <f t="shared" si="31"/>
        <v>-2</v>
      </c>
      <c r="AY15" s="32">
        <v>6</v>
      </c>
      <c r="AZ15" s="2">
        <f t="shared" si="32"/>
        <v>2</v>
      </c>
      <c r="BA15" s="13">
        <f t="shared" si="33"/>
        <v>0</v>
      </c>
      <c r="BB15" s="32">
        <v>5</v>
      </c>
      <c r="BC15" s="2">
        <f t="shared" si="34"/>
        <v>1</v>
      </c>
      <c r="BD15" s="13">
        <f t="shared" si="35"/>
        <v>1</v>
      </c>
      <c r="BF15" t="str">
        <f t="shared" si="36"/>
        <v>Mark</v>
      </c>
      <c r="BG15" t="str">
        <f t="shared" si="37"/>
        <v>Wilson</v>
      </c>
      <c r="BH15">
        <v>1</v>
      </c>
      <c r="BI15" s="37">
        <v>12</v>
      </c>
      <c r="BJ15" t="s">
        <v>11</v>
      </c>
      <c r="BK15" t="s">
        <v>12</v>
      </c>
      <c r="BL15">
        <v>4</v>
      </c>
      <c r="BM15" t="s">
        <v>36</v>
      </c>
      <c r="BN15" t="s">
        <v>37</v>
      </c>
      <c r="BO15">
        <v>1</v>
      </c>
      <c r="BP15">
        <v>-1</v>
      </c>
      <c r="BR15" s="1">
        <f t="shared" si="38"/>
        <v>4.0555555555555554</v>
      </c>
    </row>
    <row r="16" spans="1:70" x14ac:dyDescent="0.25">
      <c r="A16" t="s">
        <v>46</v>
      </c>
      <c r="B16" t="s">
        <v>47</v>
      </c>
      <c r="C16" s="31">
        <v>3</v>
      </c>
      <c r="D16" s="2">
        <f t="shared" si="0"/>
        <v>-1</v>
      </c>
      <c r="E16" s="13">
        <f t="shared" si="1"/>
        <v>-1</v>
      </c>
      <c r="F16" s="8">
        <v>7</v>
      </c>
      <c r="G16" s="2">
        <f t="shared" si="2"/>
        <v>3</v>
      </c>
      <c r="H16" s="13">
        <f t="shared" si="3"/>
        <v>2</v>
      </c>
      <c r="I16" s="32">
        <v>4</v>
      </c>
      <c r="J16" s="2">
        <f t="shared" si="4"/>
        <v>0</v>
      </c>
      <c r="K16" s="13">
        <f t="shared" si="5"/>
        <v>2</v>
      </c>
      <c r="L16" s="32">
        <v>3</v>
      </c>
      <c r="M16" s="2">
        <f t="shared" si="6"/>
        <v>-1</v>
      </c>
      <c r="N16" s="13">
        <f t="shared" si="7"/>
        <v>1</v>
      </c>
      <c r="O16" s="32">
        <v>3</v>
      </c>
      <c r="P16" s="2">
        <f t="shared" si="8"/>
        <v>-1</v>
      </c>
      <c r="Q16" s="13">
        <f t="shared" si="9"/>
        <v>0</v>
      </c>
      <c r="R16" s="32">
        <v>4</v>
      </c>
      <c r="S16" s="2">
        <f t="shared" si="10"/>
        <v>0</v>
      </c>
      <c r="T16" s="13">
        <f t="shared" si="11"/>
        <v>0</v>
      </c>
      <c r="U16" s="32">
        <v>5</v>
      </c>
      <c r="V16" s="2">
        <f t="shared" si="12"/>
        <v>1</v>
      </c>
      <c r="W16" s="13">
        <f t="shared" si="13"/>
        <v>1</v>
      </c>
      <c r="X16" s="32">
        <v>3</v>
      </c>
      <c r="Y16" s="2">
        <f t="shared" si="14"/>
        <v>-1</v>
      </c>
      <c r="Z16" s="13">
        <f t="shared" si="15"/>
        <v>0</v>
      </c>
      <c r="AA16" s="32">
        <v>5</v>
      </c>
      <c r="AB16" s="2">
        <f t="shared" si="16"/>
        <v>1</v>
      </c>
      <c r="AC16" s="13">
        <f t="shared" si="17"/>
        <v>1</v>
      </c>
      <c r="AD16" s="32">
        <v>4</v>
      </c>
      <c r="AE16" s="2">
        <f t="shared" si="18"/>
        <v>0</v>
      </c>
      <c r="AF16" s="13">
        <f t="shared" si="19"/>
        <v>1</v>
      </c>
      <c r="AG16" s="32">
        <v>4</v>
      </c>
      <c r="AH16" s="2">
        <f t="shared" si="20"/>
        <v>0</v>
      </c>
      <c r="AI16" s="13">
        <f t="shared" si="21"/>
        <v>1</v>
      </c>
      <c r="AJ16" s="32">
        <v>4</v>
      </c>
      <c r="AK16" s="2">
        <f t="shared" si="22"/>
        <v>0</v>
      </c>
      <c r="AL16" s="13">
        <f t="shared" si="23"/>
        <v>1</v>
      </c>
      <c r="AM16" s="32">
        <v>4</v>
      </c>
      <c r="AN16" s="2">
        <f t="shared" si="24"/>
        <v>0</v>
      </c>
      <c r="AO16" s="13">
        <f t="shared" si="25"/>
        <v>1</v>
      </c>
      <c r="AP16" s="32">
        <v>4</v>
      </c>
      <c r="AQ16" s="2">
        <f t="shared" si="26"/>
        <v>0</v>
      </c>
      <c r="AR16" s="13">
        <f t="shared" si="27"/>
        <v>1</v>
      </c>
      <c r="AS16" s="32">
        <v>3</v>
      </c>
      <c r="AT16" s="2">
        <f t="shared" si="28"/>
        <v>-1</v>
      </c>
      <c r="AU16" s="13">
        <f t="shared" si="29"/>
        <v>0</v>
      </c>
      <c r="AV16" s="32">
        <v>4</v>
      </c>
      <c r="AW16" s="2">
        <f t="shared" si="30"/>
        <v>0</v>
      </c>
      <c r="AX16" s="13">
        <f t="shared" si="31"/>
        <v>0</v>
      </c>
      <c r="AY16" s="32">
        <v>4</v>
      </c>
      <c r="AZ16" s="2">
        <f t="shared" si="32"/>
        <v>0</v>
      </c>
      <c r="BA16" s="13">
        <f t="shared" si="33"/>
        <v>0</v>
      </c>
      <c r="BB16" s="32">
        <v>4</v>
      </c>
      <c r="BC16" s="2">
        <f t="shared" si="34"/>
        <v>0</v>
      </c>
      <c r="BD16" s="13">
        <f t="shared" si="35"/>
        <v>0</v>
      </c>
      <c r="BF16" t="str">
        <f t="shared" si="36"/>
        <v>Mary</v>
      </c>
      <c r="BG16" t="str">
        <f t="shared" si="37"/>
        <v>Louise</v>
      </c>
      <c r="BH16">
        <v>0</v>
      </c>
      <c r="BI16" s="37">
        <v>13</v>
      </c>
      <c r="BJ16" t="s">
        <v>9</v>
      </c>
      <c r="BK16" t="s">
        <v>10</v>
      </c>
      <c r="BL16">
        <v>5</v>
      </c>
      <c r="BM16" t="s">
        <v>32</v>
      </c>
      <c r="BN16" t="s">
        <v>33</v>
      </c>
      <c r="BO16">
        <v>7</v>
      </c>
      <c r="BP16">
        <v>0</v>
      </c>
      <c r="BR16" s="1">
        <f t="shared" si="38"/>
        <v>4</v>
      </c>
    </row>
    <row r="17" spans="1:70" x14ac:dyDescent="0.25">
      <c r="A17" t="s">
        <v>38</v>
      </c>
      <c r="B17" t="s">
        <v>10</v>
      </c>
      <c r="C17" s="31">
        <v>3</v>
      </c>
      <c r="D17" s="2">
        <f t="shared" si="0"/>
        <v>-1</v>
      </c>
      <c r="E17" s="13">
        <f t="shared" si="1"/>
        <v>-1</v>
      </c>
      <c r="F17" s="6">
        <f>$C$24</f>
        <v>7</v>
      </c>
      <c r="G17" s="2">
        <f t="shared" si="2"/>
        <v>3</v>
      </c>
      <c r="H17" s="13">
        <f t="shared" si="3"/>
        <v>2</v>
      </c>
      <c r="I17" s="32">
        <v>4</v>
      </c>
      <c r="J17" s="2">
        <f t="shared" si="4"/>
        <v>0</v>
      </c>
      <c r="K17" s="13">
        <f t="shared" si="5"/>
        <v>2</v>
      </c>
      <c r="L17" s="32">
        <v>3</v>
      </c>
      <c r="M17" s="2">
        <f t="shared" si="6"/>
        <v>-1</v>
      </c>
      <c r="N17" s="13">
        <f t="shared" si="7"/>
        <v>1</v>
      </c>
      <c r="O17" s="32">
        <v>5</v>
      </c>
      <c r="P17" s="2">
        <f t="shared" si="8"/>
        <v>1</v>
      </c>
      <c r="Q17" s="13">
        <f t="shared" si="9"/>
        <v>2</v>
      </c>
      <c r="R17" s="32">
        <v>2</v>
      </c>
      <c r="S17" s="2">
        <f t="shared" si="10"/>
        <v>-2</v>
      </c>
      <c r="T17" s="13">
        <f t="shared" si="11"/>
        <v>0</v>
      </c>
      <c r="U17" s="32">
        <v>4</v>
      </c>
      <c r="V17" s="2">
        <f t="shared" si="12"/>
        <v>0</v>
      </c>
      <c r="W17" s="13">
        <f t="shared" si="13"/>
        <v>0</v>
      </c>
      <c r="X17" s="32">
        <v>4</v>
      </c>
      <c r="Y17" s="2">
        <f t="shared" si="14"/>
        <v>0</v>
      </c>
      <c r="Z17" s="13">
        <f t="shared" si="15"/>
        <v>0</v>
      </c>
      <c r="AA17" s="32">
        <v>4</v>
      </c>
      <c r="AB17" s="2">
        <f t="shared" si="16"/>
        <v>0</v>
      </c>
      <c r="AC17" s="13">
        <f t="shared" si="17"/>
        <v>0</v>
      </c>
      <c r="AD17" s="32">
        <v>4</v>
      </c>
      <c r="AE17" s="2">
        <f t="shared" si="18"/>
        <v>0</v>
      </c>
      <c r="AF17" s="13">
        <f t="shared" si="19"/>
        <v>0</v>
      </c>
      <c r="AG17" s="6">
        <f>$C$24</f>
        <v>7</v>
      </c>
      <c r="AH17" s="2">
        <f t="shared" si="20"/>
        <v>3</v>
      </c>
      <c r="AI17" s="13">
        <f t="shared" si="21"/>
        <v>3</v>
      </c>
      <c r="AJ17" s="32">
        <v>5</v>
      </c>
      <c r="AK17" s="2">
        <f t="shared" si="22"/>
        <v>1</v>
      </c>
      <c r="AL17" s="13">
        <f t="shared" si="23"/>
        <v>4</v>
      </c>
      <c r="AM17" s="6">
        <f>$C$24</f>
        <v>7</v>
      </c>
      <c r="AN17" s="2">
        <f t="shared" si="24"/>
        <v>3</v>
      </c>
      <c r="AO17" s="13">
        <f t="shared" si="25"/>
        <v>7</v>
      </c>
      <c r="AP17" s="6">
        <f>$C$24</f>
        <v>7</v>
      </c>
      <c r="AQ17" s="2">
        <f t="shared" si="26"/>
        <v>3</v>
      </c>
      <c r="AR17" s="13">
        <f t="shared" si="27"/>
        <v>10</v>
      </c>
      <c r="AS17" s="32">
        <v>4</v>
      </c>
      <c r="AT17" s="2">
        <f t="shared" si="28"/>
        <v>0</v>
      </c>
      <c r="AU17" s="13">
        <f t="shared" si="29"/>
        <v>10</v>
      </c>
      <c r="AV17" s="32">
        <v>4</v>
      </c>
      <c r="AW17" s="2">
        <f t="shared" si="30"/>
        <v>0</v>
      </c>
      <c r="AX17" s="13">
        <f t="shared" si="31"/>
        <v>10</v>
      </c>
      <c r="AY17" s="32">
        <v>4</v>
      </c>
      <c r="AZ17" s="2">
        <f t="shared" si="32"/>
        <v>0</v>
      </c>
      <c r="BA17" s="13">
        <f t="shared" si="33"/>
        <v>10</v>
      </c>
      <c r="BB17" s="32">
        <v>4</v>
      </c>
      <c r="BC17" s="2">
        <f t="shared" si="34"/>
        <v>0</v>
      </c>
      <c r="BD17" s="13">
        <f t="shared" si="35"/>
        <v>10</v>
      </c>
      <c r="BF17" t="str">
        <f t="shared" si="36"/>
        <v>Rachel</v>
      </c>
      <c r="BG17" t="str">
        <f t="shared" si="37"/>
        <v>Bentley</v>
      </c>
      <c r="BH17">
        <v>10</v>
      </c>
      <c r="BI17" s="37">
        <v>14</v>
      </c>
      <c r="BJ17" t="s">
        <v>17</v>
      </c>
      <c r="BK17" t="s">
        <v>18</v>
      </c>
      <c r="BL17">
        <v>5</v>
      </c>
      <c r="BM17" t="s">
        <v>46</v>
      </c>
      <c r="BN17" t="s">
        <v>47</v>
      </c>
      <c r="BO17">
        <v>0</v>
      </c>
      <c r="BP17">
        <v>0</v>
      </c>
      <c r="BR17" s="1">
        <f t="shared" si="38"/>
        <v>4.5555555555555554</v>
      </c>
    </row>
    <row r="18" spans="1:70" x14ac:dyDescent="0.25">
      <c r="A18" t="s">
        <v>21</v>
      </c>
      <c r="B18" t="s">
        <v>22</v>
      </c>
      <c r="C18" s="31">
        <v>4</v>
      </c>
      <c r="D18" s="2">
        <f t="shared" si="0"/>
        <v>0</v>
      </c>
      <c r="E18" s="13">
        <f t="shared" si="1"/>
        <v>0</v>
      </c>
      <c r="F18" s="32">
        <v>6</v>
      </c>
      <c r="G18" s="2">
        <f t="shared" si="2"/>
        <v>2</v>
      </c>
      <c r="H18" s="13">
        <f t="shared" si="3"/>
        <v>2</v>
      </c>
      <c r="I18" s="32">
        <v>5</v>
      </c>
      <c r="J18" s="2">
        <f t="shared" si="4"/>
        <v>1</v>
      </c>
      <c r="K18" s="13">
        <f t="shared" si="5"/>
        <v>3</v>
      </c>
      <c r="L18" s="32">
        <v>3</v>
      </c>
      <c r="M18" s="2">
        <f t="shared" si="6"/>
        <v>-1</v>
      </c>
      <c r="N18" s="13">
        <f t="shared" si="7"/>
        <v>2</v>
      </c>
      <c r="O18" s="32">
        <v>6</v>
      </c>
      <c r="P18" s="2">
        <f t="shared" si="8"/>
        <v>2</v>
      </c>
      <c r="Q18" s="13">
        <f t="shared" si="9"/>
        <v>4</v>
      </c>
      <c r="R18" s="32">
        <v>4</v>
      </c>
      <c r="S18" s="2">
        <f t="shared" si="10"/>
        <v>0</v>
      </c>
      <c r="T18" s="13">
        <f t="shared" si="11"/>
        <v>4</v>
      </c>
      <c r="U18" s="32">
        <v>3</v>
      </c>
      <c r="V18" s="2">
        <f t="shared" si="12"/>
        <v>-1</v>
      </c>
      <c r="W18" s="13">
        <f t="shared" si="13"/>
        <v>3</v>
      </c>
      <c r="X18" s="32">
        <v>3</v>
      </c>
      <c r="Y18" s="2">
        <f t="shared" si="14"/>
        <v>-1</v>
      </c>
      <c r="Z18" s="13">
        <f t="shared" si="15"/>
        <v>2</v>
      </c>
      <c r="AA18" s="32">
        <v>3</v>
      </c>
      <c r="AB18" s="2">
        <f t="shared" si="16"/>
        <v>-1</v>
      </c>
      <c r="AC18" s="13">
        <f t="shared" si="17"/>
        <v>1</v>
      </c>
      <c r="AD18" s="32">
        <v>3</v>
      </c>
      <c r="AE18" s="2">
        <f t="shared" si="18"/>
        <v>-1</v>
      </c>
      <c r="AF18" s="13">
        <f t="shared" si="19"/>
        <v>0</v>
      </c>
      <c r="AG18" s="6">
        <f>$C$24</f>
        <v>7</v>
      </c>
      <c r="AH18" s="2">
        <f t="shared" si="20"/>
        <v>3</v>
      </c>
      <c r="AI18" s="13">
        <f t="shared" si="21"/>
        <v>3</v>
      </c>
      <c r="AJ18" s="32">
        <v>4</v>
      </c>
      <c r="AK18" s="2">
        <f t="shared" si="22"/>
        <v>0</v>
      </c>
      <c r="AL18" s="13">
        <f t="shared" si="23"/>
        <v>3</v>
      </c>
      <c r="AM18" s="8">
        <v>7</v>
      </c>
      <c r="AN18" s="2">
        <f t="shared" si="24"/>
        <v>3</v>
      </c>
      <c r="AO18" s="13">
        <f t="shared" si="25"/>
        <v>6</v>
      </c>
      <c r="AP18" s="32">
        <v>5</v>
      </c>
      <c r="AQ18" s="2">
        <f t="shared" si="26"/>
        <v>1</v>
      </c>
      <c r="AR18" s="13">
        <f t="shared" si="27"/>
        <v>7</v>
      </c>
      <c r="AS18" s="32">
        <v>3</v>
      </c>
      <c r="AT18" s="2">
        <f t="shared" si="28"/>
        <v>-1</v>
      </c>
      <c r="AU18" s="13">
        <f t="shared" si="29"/>
        <v>6</v>
      </c>
      <c r="AV18" s="32">
        <v>5</v>
      </c>
      <c r="AW18" s="2">
        <f t="shared" si="30"/>
        <v>1</v>
      </c>
      <c r="AX18" s="13">
        <f t="shared" si="31"/>
        <v>7</v>
      </c>
      <c r="AY18" s="32">
        <v>6</v>
      </c>
      <c r="AZ18" s="2">
        <f t="shared" si="32"/>
        <v>2</v>
      </c>
      <c r="BA18" s="13">
        <f t="shared" si="33"/>
        <v>9</v>
      </c>
      <c r="BB18" s="32">
        <v>4</v>
      </c>
      <c r="BC18" s="2">
        <f t="shared" si="34"/>
        <v>0</v>
      </c>
      <c r="BD18" s="13">
        <f t="shared" si="35"/>
        <v>9</v>
      </c>
      <c r="BF18" t="str">
        <f t="shared" si="36"/>
        <v>Sue</v>
      </c>
      <c r="BG18" t="str">
        <f t="shared" si="37"/>
        <v>Marchant</v>
      </c>
      <c r="BH18">
        <v>9</v>
      </c>
      <c r="BI18" s="37">
        <v>15</v>
      </c>
      <c r="BJ18" t="s">
        <v>32</v>
      </c>
      <c r="BK18" t="s">
        <v>33</v>
      </c>
      <c r="BL18">
        <v>7</v>
      </c>
      <c r="BM18" t="s">
        <v>9</v>
      </c>
      <c r="BN18" t="s">
        <v>10</v>
      </c>
      <c r="BO18">
        <v>2</v>
      </c>
      <c r="BP18">
        <v>3</v>
      </c>
      <c r="BR18" s="1">
        <f t="shared" si="38"/>
        <v>4.5</v>
      </c>
    </row>
    <row r="19" spans="1:70" x14ac:dyDescent="0.25">
      <c r="A19" t="s">
        <v>21</v>
      </c>
      <c r="B19" t="s">
        <v>31</v>
      </c>
      <c r="C19" s="31">
        <v>2</v>
      </c>
      <c r="D19" s="2">
        <f t="shared" si="0"/>
        <v>-2</v>
      </c>
      <c r="E19" s="13">
        <f t="shared" si="1"/>
        <v>-2</v>
      </c>
      <c r="F19" s="32">
        <v>3</v>
      </c>
      <c r="G19" s="2">
        <f t="shared" si="2"/>
        <v>-1</v>
      </c>
      <c r="H19" s="13">
        <f t="shared" si="3"/>
        <v>-3</v>
      </c>
      <c r="I19" s="32">
        <v>3</v>
      </c>
      <c r="J19" s="2">
        <f t="shared" si="4"/>
        <v>-1</v>
      </c>
      <c r="K19" s="13">
        <f t="shared" si="5"/>
        <v>-4</v>
      </c>
      <c r="L19" s="32">
        <v>2</v>
      </c>
      <c r="M19" s="2">
        <f t="shared" si="6"/>
        <v>-2</v>
      </c>
      <c r="N19" s="13">
        <f t="shared" si="7"/>
        <v>-6</v>
      </c>
      <c r="O19" s="32">
        <v>3</v>
      </c>
      <c r="P19" s="2">
        <f t="shared" si="8"/>
        <v>-1</v>
      </c>
      <c r="Q19" s="13">
        <f t="shared" si="9"/>
        <v>-7</v>
      </c>
      <c r="R19" s="32">
        <v>3</v>
      </c>
      <c r="S19" s="2">
        <f t="shared" si="10"/>
        <v>-1</v>
      </c>
      <c r="T19" s="13">
        <f t="shared" si="11"/>
        <v>-8</v>
      </c>
      <c r="U19" s="32">
        <v>3</v>
      </c>
      <c r="V19" s="2">
        <f t="shared" si="12"/>
        <v>-1</v>
      </c>
      <c r="W19" s="13">
        <f t="shared" si="13"/>
        <v>-9</v>
      </c>
      <c r="X19" s="32">
        <v>2</v>
      </c>
      <c r="Y19" s="2">
        <f t="shared" si="14"/>
        <v>-2</v>
      </c>
      <c r="Z19" s="13">
        <f t="shared" si="15"/>
        <v>-11</v>
      </c>
      <c r="AA19" s="32">
        <v>4</v>
      </c>
      <c r="AB19" s="2">
        <f t="shared" si="16"/>
        <v>0</v>
      </c>
      <c r="AC19" s="13">
        <f t="shared" si="17"/>
        <v>-11</v>
      </c>
      <c r="AD19" s="32">
        <v>3</v>
      </c>
      <c r="AE19" s="2">
        <f t="shared" si="18"/>
        <v>-1</v>
      </c>
      <c r="AF19" s="13">
        <f t="shared" si="19"/>
        <v>-12</v>
      </c>
      <c r="AG19" s="32">
        <v>3</v>
      </c>
      <c r="AH19" s="2">
        <f t="shared" si="20"/>
        <v>-1</v>
      </c>
      <c r="AI19" s="13">
        <f t="shared" si="21"/>
        <v>-13</v>
      </c>
      <c r="AJ19" s="32">
        <v>3</v>
      </c>
      <c r="AK19" s="2">
        <f t="shared" si="22"/>
        <v>-1</v>
      </c>
      <c r="AL19" s="13">
        <f t="shared" si="23"/>
        <v>-14</v>
      </c>
      <c r="AM19" s="32">
        <v>3</v>
      </c>
      <c r="AN19" s="2">
        <f t="shared" si="24"/>
        <v>-1</v>
      </c>
      <c r="AO19" s="13">
        <f t="shared" si="25"/>
        <v>-15</v>
      </c>
      <c r="AP19" s="32">
        <v>3</v>
      </c>
      <c r="AQ19" s="2">
        <f t="shared" si="26"/>
        <v>-1</v>
      </c>
      <c r="AR19" s="13">
        <f t="shared" si="27"/>
        <v>-16</v>
      </c>
      <c r="AS19" s="32">
        <v>4</v>
      </c>
      <c r="AT19" s="2">
        <f t="shared" si="28"/>
        <v>0</v>
      </c>
      <c r="AU19" s="13">
        <f t="shared" si="29"/>
        <v>-16</v>
      </c>
      <c r="AV19" s="32">
        <v>2</v>
      </c>
      <c r="AW19" s="2">
        <f t="shared" si="30"/>
        <v>-2</v>
      </c>
      <c r="AX19" s="13">
        <f t="shared" si="31"/>
        <v>-18</v>
      </c>
      <c r="AY19" s="32">
        <v>3</v>
      </c>
      <c r="AZ19" s="2">
        <f t="shared" si="32"/>
        <v>-1</v>
      </c>
      <c r="BA19" s="13">
        <f t="shared" si="33"/>
        <v>-19</v>
      </c>
      <c r="BB19" s="32">
        <v>3</v>
      </c>
      <c r="BC19" s="2">
        <f t="shared" si="34"/>
        <v>-1</v>
      </c>
      <c r="BD19" s="13">
        <f t="shared" si="35"/>
        <v>-20</v>
      </c>
      <c r="BF19" t="str">
        <f t="shared" si="36"/>
        <v>Sue</v>
      </c>
      <c r="BG19" t="str">
        <f t="shared" si="37"/>
        <v>Merrill</v>
      </c>
      <c r="BH19">
        <v>-20</v>
      </c>
      <c r="BI19" s="37">
        <v>16</v>
      </c>
      <c r="BJ19" t="s">
        <v>21</v>
      </c>
      <c r="BK19" t="s">
        <v>22</v>
      </c>
      <c r="BL19">
        <v>9</v>
      </c>
      <c r="BM19" t="s">
        <v>11</v>
      </c>
      <c r="BN19" t="s">
        <v>12</v>
      </c>
      <c r="BO19">
        <v>1</v>
      </c>
      <c r="BP19">
        <v>3</v>
      </c>
      <c r="BR19" s="1">
        <f t="shared" si="38"/>
        <v>2.8888888888888888</v>
      </c>
    </row>
    <row r="20" spans="1:70" x14ac:dyDescent="0.25">
      <c r="A20" t="s">
        <v>23</v>
      </c>
      <c r="B20" t="s">
        <v>24</v>
      </c>
      <c r="C20" s="33">
        <v>2</v>
      </c>
      <c r="D20" s="34">
        <f t="shared" si="0"/>
        <v>-2</v>
      </c>
      <c r="E20" s="15">
        <f t="shared" si="1"/>
        <v>-2</v>
      </c>
      <c r="F20" s="35">
        <v>4</v>
      </c>
      <c r="G20" s="34">
        <f t="shared" si="2"/>
        <v>0</v>
      </c>
      <c r="H20" s="15">
        <f t="shared" si="3"/>
        <v>-2</v>
      </c>
      <c r="I20" s="35">
        <v>3</v>
      </c>
      <c r="J20" s="34">
        <f t="shared" si="4"/>
        <v>-1</v>
      </c>
      <c r="K20" s="15">
        <f t="shared" si="5"/>
        <v>-3</v>
      </c>
      <c r="L20" s="35">
        <v>3</v>
      </c>
      <c r="M20" s="34">
        <f t="shared" si="6"/>
        <v>-1</v>
      </c>
      <c r="N20" s="15">
        <f t="shared" si="7"/>
        <v>-4</v>
      </c>
      <c r="O20" s="35">
        <v>4</v>
      </c>
      <c r="P20" s="34">
        <f t="shared" si="8"/>
        <v>0</v>
      </c>
      <c r="Q20" s="15">
        <f t="shared" si="9"/>
        <v>-4</v>
      </c>
      <c r="R20" s="35">
        <v>5</v>
      </c>
      <c r="S20" s="34">
        <f t="shared" si="10"/>
        <v>1</v>
      </c>
      <c r="T20" s="15">
        <f t="shared" si="11"/>
        <v>-3</v>
      </c>
      <c r="U20" s="35">
        <v>3</v>
      </c>
      <c r="V20" s="34">
        <f t="shared" si="12"/>
        <v>-1</v>
      </c>
      <c r="W20" s="15">
        <f t="shared" si="13"/>
        <v>-4</v>
      </c>
      <c r="X20" s="35">
        <v>3</v>
      </c>
      <c r="Y20" s="34">
        <f t="shared" si="14"/>
        <v>-1</v>
      </c>
      <c r="Z20" s="15">
        <f t="shared" si="15"/>
        <v>-5</v>
      </c>
      <c r="AA20" s="35">
        <v>4</v>
      </c>
      <c r="AB20" s="34">
        <f t="shared" si="16"/>
        <v>0</v>
      </c>
      <c r="AC20" s="15">
        <f t="shared" si="17"/>
        <v>-5</v>
      </c>
      <c r="AD20" s="35">
        <v>3</v>
      </c>
      <c r="AE20" s="34">
        <f t="shared" si="18"/>
        <v>-1</v>
      </c>
      <c r="AF20" s="15">
        <f t="shared" si="19"/>
        <v>-6</v>
      </c>
      <c r="AG20" s="35">
        <v>3</v>
      </c>
      <c r="AH20" s="34">
        <f t="shared" si="20"/>
        <v>-1</v>
      </c>
      <c r="AI20" s="15">
        <f t="shared" si="21"/>
        <v>-7</v>
      </c>
      <c r="AJ20" s="35">
        <v>4</v>
      </c>
      <c r="AK20" s="34">
        <f t="shared" si="22"/>
        <v>0</v>
      </c>
      <c r="AL20" s="15">
        <f t="shared" si="23"/>
        <v>-7</v>
      </c>
      <c r="AM20" s="35">
        <v>4</v>
      </c>
      <c r="AN20" s="34">
        <f t="shared" si="24"/>
        <v>0</v>
      </c>
      <c r="AO20" s="15">
        <f t="shared" si="25"/>
        <v>-7</v>
      </c>
      <c r="AP20" s="35">
        <v>4</v>
      </c>
      <c r="AQ20" s="34">
        <f t="shared" si="26"/>
        <v>0</v>
      </c>
      <c r="AR20" s="15">
        <f t="shared" si="27"/>
        <v>-7</v>
      </c>
      <c r="AS20" s="35">
        <v>4</v>
      </c>
      <c r="AT20" s="34">
        <f t="shared" si="28"/>
        <v>0</v>
      </c>
      <c r="AU20" s="15">
        <f t="shared" si="29"/>
        <v>-7</v>
      </c>
      <c r="AV20" s="35">
        <v>4</v>
      </c>
      <c r="AW20" s="34">
        <f t="shared" si="30"/>
        <v>0</v>
      </c>
      <c r="AX20" s="15">
        <f t="shared" si="31"/>
        <v>-7</v>
      </c>
      <c r="AY20" s="35">
        <v>3</v>
      </c>
      <c r="AZ20" s="34">
        <f t="shared" si="32"/>
        <v>-1</v>
      </c>
      <c r="BA20" s="15">
        <f t="shared" si="33"/>
        <v>-8</v>
      </c>
      <c r="BB20" s="35">
        <v>3</v>
      </c>
      <c r="BC20" s="34">
        <f t="shared" si="34"/>
        <v>-1</v>
      </c>
      <c r="BD20" s="15">
        <f t="shared" si="35"/>
        <v>-9</v>
      </c>
      <c r="BF20" t="str">
        <f t="shared" si="36"/>
        <v>Tanya</v>
      </c>
      <c r="BG20" t="str">
        <f t="shared" si="37"/>
        <v>Moger</v>
      </c>
      <c r="BH20">
        <v>-9</v>
      </c>
      <c r="BI20" s="37">
        <v>17</v>
      </c>
      <c r="BJ20" t="s">
        <v>38</v>
      </c>
      <c r="BK20" t="s">
        <v>10</v>
      </c>
      <c r="BL20">
        <v>10</v>
      </c>
      <c r="BM20" t="s">
        <v>15</v>
      </c>
      <c r="BN20" t="s">
        <v>16</v>
      </c>
      <c r="BO20">
        <v>-2</v>
      </c>
      <c r="BP20">
        <v>5</v>
      </c>
      <c r="BR20" s="1">
        <f t="shared" si="38"/>
        <v>3.5</v>
      </c>
    </row>
    <row r="22" spans="1:70" x14ac:dyDescent="0.25">
      <c r="B22" t="s">
        <v>25</v>
      </c>
      <c r="C22" s="3">
        <f>IF(COUNT(C4:C20)&gt;0,AVERAGE(C4:C20),"")</f>
        <v>3.4117647058823528</v>
      </c>
      <c r="D22" s="3"/>
      <c r="E22" s="3"/>
      <c r="F22" s="3">
        <f>IF(COUNT(F4:F20)&gt;0,AVERAGE(F4:F20),"")</f>
        <v>5.3529411764705879</v>
      </c>
      <c r="G22" s="3"/>
      <c r="H22" s="3"/>
      <c r="I22" s="3">
        <f>IF(COUNT(I4:I20)&gt;0,AVERAGE(I4:I20),"")</f>
        <v>3.7647058823529411</v>
      </c>
      <c r="J22" s="3"/>
      <c r="K22" s="3"/>
      <c r="L22" s="3">
        <f>IF(COUNT(L4:L20)&gt;0,AVERAGE(L4:L20),"")</f>
        <v>3.3529411764705883</v>
      </c>
      <c r="M22" s="3"/>
      <c r="N22" s="3"/>
      <c r="O22" s="3">
        <f>IF(COUNT(O4:O20)&gt;0,AVERAGE(O4:O20),"")</f>
        <v>4.4705882352941178</v>
      </c>
      <c r="P22" s="3"/>
      <c r="Q22" s="3"/>
      <c r="R22" s="3">
        <f>IF(COUNT(R4:R20)&gt;0,AVERAGE(R4:R20),"")</f>
        <v>3.6470588235294117</v>
      </c>
      <c r="S22" s="3"/>
      <c r="T22" s="3"/>
      <c r="U22" s="3">
        <f>IF(COUNT(U4:U20)&gt;0,AVERAGE(U4:U20),"")</f>
        <v>3.5294117647058822</v>
      </c>
      <c r="V22" s="3"/>
      <c r="W22" s="3"/>
      <c r="X22" s="3">
        <f>IF(COUNT(X4:X20)&gt;0,AVERAGE(X4:X20),"")</f>
        <v>3.7058823529411766</v>
      </c>
      <c r="Y22" s="3"/>
      <c r="Z22" s="3"/>
      <c r="AA22" s="3">
        <f>IF(COUNT(AA4:AA20)&gt;0,AVERAGE(AA4:AA20),"")</f>
        <v>4.4117647058823533</v>
      </c>
      <c r="AB22" s="3"/>
      <c r="AC22" s="3"/>
      <c r="AD22" s="3">
        <f>IF(COUNT(AD4:AD20)&gt;0,AVERAGE(AD4:AD20),"")</f>
        <v>3.8823529411764706</v>
      </c>
      <c r="AE22" s="3"/>
      <c r="AF22" s="3"/>
      <c r="AG22" s="3">
        <f>IF(COUNT(AG4:AG20)&gt;0,AVERAGE(AG4:AG20),"")</f>
        <v>3.4117647058823528</v>
      </c>
      <c r="AH22" s="3"/>
      <c r="AI22" s="3"/>
      <c r="AJ22" s="3">
        <f>IF(COUNT(AJ4:AJ20)&gt;0,AVERAGE(AJ4:AJ20),"")</f>
        <v>3.5882352941176472</v>
      </c>
      <c r="AK22" s="3"/>
      <c r="AL22" s="3"/>
      <c r="AM22" s="3">
        <f>IF(COUNT(AM4:AM20)&gt;0,AVERAGE(AM4:AM20),"")</f>
        <v>4.4705882352941178</v>
      </c>
      <c r="AN22" s="18"/>
      <c r="AO22" s="18"/>
      <c r="AP22" s="3">
        <f>IF(COUNT(AP4:AP20)&gt;0,AVERAGE(AP4:AP20),"")</f>
        <v>4.1764705882352944</v>
      </c>
      <c r="AQ22" s="18"/>
      <c r="AR22" s="18"/>
      <c r="AS22" s="3">
        <f>IF(COUNT(AS4:AS20)&gt;0,AVERAGE(AS4:AS20),"")</f>
        <v>3.6470588235294117</v>
      </c>
      <c r="AT22" s="18"/>
      <c r="AU22" s="18"/>
      <c r="AV22" s="3">
        <f>IF(COUNT(AV4:AV20)&gt;0,AVERAGE(AV4:AV20),"")</f>
        <v>3.8235294117647061</v>
      </c>
      <c r="AW22" s="18"/>
      <c r="AX22" s="18"/>
      <c r="AY22" s="3">
        <f>IF(COUNT(AY4:AY20)&gt;0,AVERAGE(AY4:AY20),"")</f>
        <v>4</v>
      </c>
      <c r="AZ22" s="18"/>
      <c r="BA22" s="18"/>
      <c r="BB22" s="3">
        <f>IF(COUNT(BB4:BB20)&gt;0,AVERAGE(BB4:BB20),"")</f>
        <v>3.5882352941176472</v>
      </c>
      <c r="BC22" s="18"/>
      <c r="BD22" s="18"/>
    </row>
    <row r="24" spans="1:70" x14ac:dyDescent="0.25">
      <c r="C24" s="6">
        <v>7</v>
      </c>
      <c r="D24" s="7" t="s">
        <v>26</v>
      </c>
      <c r="BM24" t="s">
        <v>13</v>
      </c>
      <c r="BN24" t="s">
        <v>14</v>
      </c>
      <c r="BO24">
        <v>-15</v>
      </c>
    </row>
    <row r="25" spans="1:70" x14ac:dyDescent="0.25">
      <c r="C25" s="8">
        <v>7</v>
      </c>
      <c r="D25" s="7" t="s">
        <v>27</v>
      </c>
      <c r="BM25" t="s">
        <v>42</v>
      </c>
      <c r="BN25" t="s">
        <v>43</v>
      </c>
      <c r="BO25">
        <v>-14</v>
      </c>
    </row>
    <row r="26" spans="1:70" x14ac:dyDescent="0.25">
      <c r="C26" s="2"/>
      <c r="D26" s="7"/>
      <c r="F26" s="2"/>
      <c r="BM26" t="s">
        <v>19</v>
      </c>
      <c r="BN26" t="s">
        <v>20</v>
      </c>
      <c r="BO26">
        <v>-12</v>
      </c>
    </row>
    <row r="27" spans="1:70" x14ac:dyDescent="0.25">
      <c r="D27" s="10"/>
      <c r="E27" s="10"/>
      <c r="G27" s="10"/>
      <c r="H27" s="10"/>
      <c r="J27" s="10"/>
      <c r="K27" s="10"/>
      <c r="M27" s="10"/>
      <c r="N27" s="10"/>
      <c r="P27" s="10"/>
      <c r="Q27" s="10"/>
      <c r="S27" s="10"/>
      <c r="T27" s="10"/>
      <c r="V27" s="10"/>
      <c r="W27" s="10"/>
      <c r="Y27" s="10"/>
      <c r="Z27" s="10"/>
      <c r="AB27" s="10"/>
      <c r="AC27" s="10"/>
      <c r="AE27" s="10"/>
      <c r="AF27" s="10"/>
      <c r="AH27" s="10"/>
      <c r="AI27" s="10"/>
      <c r="AK27" s="10"/>
      <c r="AL27" s="10"/>
      <c r="AN27" s="10"/>
      <c r="AO27" s="10"/>
      <c r="AQ27" s="10"/>
      <c r="AR27" s="10"/>
      <c r="AT27" s="10"/>
      <c r="AU27" s="10"/>
      <c r="AW27" s="10"/>
      <c r="AX27" s="10"/>
      <c r="AZ27" s="10"/>
      <c r="BA27" s="10"/>
      <c r="BC27" s="10"/>
      <c r="BD27" s="10"/>
      <c r="BM27" t="s">
        <v>21</v>
      </c>
      <c r="BN27" t="s">
        <v>22</v>
      </c>
      <c r="BO27">
        <v>-9</v>
      </c>
    </row>
    <row r="28" spans="1:70" x14ac:dyDescent="0.25">
      <c r="BM28" t="s">
        <v>38</v>
      </c>
      <c r="BN28" t="s">
        <v>10</v>
      </c>
      <c r="BO28">
        <v>-7</v>
      </c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  <c r="BM29" t="s">
        <v>23</v>
      </c>
      <c r="BN29" t="s">
        <v>24</v>
      </c>
      <c r="BO29">
        <v>-6</v>
      </c>
    </row>
    <row r="30" spans="1:70" x14ac:dyDescent="0.25">
      <c r="D30" s="7"/>
      <c r="E30" s="7"/>
      <c r="G30" s="7"/>
      <c r="H30" s="7"/>
      <c r="J30" s="7"/>
      <c r="K30" s="7"/>
      <c r="M30" s="7"/>
      <c r="N30" s="7"/>
      <c r="P30" s="7"/>
      <c r="Q30" s="7"/>
      <c r="S30" s="7"/>
      <c r="T30" s="7"/>
      <c r="V30" s="7"/>
      <c r="W30" s="7"/>
      <c r="Y30" s="7"/>
      <c r="Z30" s="7"/>
      <c r="AB30" s="7"/>
      <c r="AC30" s="7"/>
      <c r="AE30" s="7"/>
      <c r="AF30" s="7"/>
      <c r="AH30" s="7"/>
      <c r="AI30" s="7"/>
      <c r="AK30" s="7"/>
      <c r="AL30" s="7"/>
      <c r="AN30" s="7"/>
      <c r="AO30" s="7"/>
      <c r="AQ30" s="7"/>
      <c r="AR30" s="7"/>
      <c r="AT30" s="7"/>
      <c r="AU30" s="7"/>
      <c r="AW30" s="7"/>
      <c r="AX30" s="7"/>
      <c r="AZ30" s="7"/>
      <c r="BA30" s="7"/>
      <c r="BC30" s="7"/>
      <c r="BD30" s="7"/>
      <c r="BM30" t="s">
        <v>17</v>
      </c>
      <c r="BN30" t="s">
        <v>18</v>
      </c>
      <c r="BO30">
        <v>-5</v>
      </c>
    </row>
    <row r="31" spans="1:70" x14ac:dyDescent="0.25">
      <c r="D31" s="7"/>
      <c r="G31" s="7"/>
      <c r="J31" s="7"/>
      <c r="M31" s="7"/>
      <c r="P31" s="7"/>
      <c r="S31" s="7"/>
      <c r="V31" s="7"/>
      <c r="Y31" s="7"/>
      <c r="AB31" s="7"/>
      <c r="AE31" s="7"/>
      <c r="AH31" s="7"/>
      <c r="AK31" s="7"/>
      <c r="AN31" s="7"/>
      <c r="AQ31" s="7"/>
      <c r="AT31" s="7"/>
      <c r="AW31" s="7"/>
      <c r="AZ31" s="7"/>
      <c r="BC31" s="7"/>
      <c r="BM31" t="s">
        <v>21</v>
      </c>
      <c r="BN31" t="s">
        <v>31</v>
      </c>
      <c r="BO31">
        <v>-4</v>
      </c>
    </row>
    <row r="32" spans="1:70" x14ac:dyDescent="0.25">
      <c r="BM32" t="s">
        <v>34</v>
      </c>
      <c r="BN32" t="s">
        <v>35</v>
      </c>
      <c r="BO32">
        <v>-3</v>
      </c>
    </row>
    <row r="33" spans="4:67" x14ac:dyDescent="0.25">
      <c r="D33" s="4"/>
      <c r="E33" s="4"/>
      <c r="G33" s="4"/>
      <c r="H33" s="4"/>
      <c r="J33" s="4"/>
      <c r="K33" s="4"/>
      <c r="M33" s="4"/>
      <c r="N33" s="4"/>
      <c r="P33" s="4"/>
      <c r="Q33" s="4"/>
      <c r="S33" s="4"/>
      <c r="T33" s="4"/>
      <c r="V33" s="4"/>
      <c r="W33" s="4"/>
      <c r="Y33" s="4"/>
      <c r="Z33" s="4"/>
      <c r="AB33" s="4"/>
      <c r="AC33" s="4"/>
      <c r="AE33" s="4"/>
      <c r="AF33" s="4"/>
      <c r="AH33" s="4"/>
      <c r="AI33" s="4"/>
      <c r="AK33" s="4"/>
      <c r="AL33" s="4"/>
      <c r="AN33" s="4"/>
      <c r="AO33" s="4"/>
      <c r="AQ33" s="4"/>
      <c r="AR33" s="4"/>
      <c r="AT33" s="4"/>
      <c r="AU33" s="4"/>
      <c r="AW33" s="4"/>
      <c r="AX33" s="4"/>
      <c r="AZ33" s="4"/>
      <c r="BA33" s="4"/>
      <c r="BC33" s="4"/>
      <c r="BD33" s="4"/>
      <c r="BM33" t="s">
        <v>44</v>
      </c>
      <c r="BN33" t="s">
        <v>45</v>
      </c>
      <c r="BO33">
        <v>-1</v>
      </c>
    </row>
    <row r="34" spans="4:67" x14ac:dyDescent="0.25">
      <c r="D34" s="5"/>
      <c r="E34" s="5"/>
      <c r="G34" s="5"/>
      <c r="H34" s="5"/>
      <c r="J34" s="5"/>
      <c r="K34" s="5"/>
      <c r="M34" s="5"/>
      <c r="N34" s="5"/>
      <c r="P34" s="5"/>
      <c r="Q34" s="5"/>
      <c r="S34" s="5"/>
      <c r="T34" s="5"/>
      <c r="V34" s="5"/>
      <c r="W34" s="5"/>
      <c r="Y34" s="5"/>
      <c r="Z34" s="5"/>
      <c r="AB34" s="5"/>
      <c r="AC34" s="5"/>
      <c r="AE34" s="5"/>
      <c r="AF34" s="5"/>
      <c r="AH34" s="5"/>
      <c r="AI34" s="5"/>
      <c r="AK34" s="5"/>
      <c r="AL34" s="5"/>
      <c r="AN34" s="5"/>
      <c r="AO34" s="5"/>
      <c r="AQ34" s="5"/>
      <c r="AR34" s="5"/>
      <c r="AT34" s="5"/>
      <c r="AU34" s="5"/>
      <c r="AW34" s="5"/>
      <c r="AX34" s="5"/>
      <c r="AZ34" s="5"/>
      <c r="BA34" s="5"/>
      <c r="BC34" s="5"/>
      <c r="BD34" s="5"/>
      <c r="BM34" t="s">
        <v>36</v>
      </c>
      <c r="BN34" t="s">
        <v>37</v>
      </c>
      <c r="BO34">
        <v>-1</v>
      </c>
    </row>
    <row r="35" spans="4:67" x14ac:dyDescent="0.25">
      <c r="BM35" t="s">
        <v>32</v>
      </c>
      <c r="BN35" t="s">
        <v>33</v>
      </c>
      <c r="BO35">
        <v>0</v>
      </c>
    </row>
    <row r="36" spans="4:67" x14ac:dyDescent="0.25">
      <c r="BM36" t="s">
        <v>46</v>
      </c>
      <c r="BN36" t="s">
        <v>47</v>
      </c>
      <c r="BO36">
        <v>0</v>
      </c>
    </row>
    <row r="37" spans="4:67" x14ac:dyDescent="0.25">
      <c r="BM37" t="s">
        <v>9</v>
      </c>
      <c r="BN37" t="s">
        <v>10</v>
      </c>
      <c r="BO37">
        <v>3</v>
      </c>
    </row>
    <row r="38" spans="4:67" x14ac:dyDescent="0.25">
      <c r="BM38" t="s">
        <v>11</v>
      </c>
      <c r="BN38" t="s">
        <v>12</v>
      </c>
      <c r="BO38">
        <v>3</v>
      </c>
    </row>
    <row r="39" spans="4:67" x14ac:dyDescent="0.25">
      <c r="BM39" t="s">
        <v>15</v>
      </c>
      <c r="BN39" t="s">
        <v>16</v>
      </c>
      <c r="BO39">
        <v>5</v>
      </c>
    </row>
    <row r="59" spans="4:56" x14ac:dyDescent="0.25">
      <c r="D59" s="11"/>
      <c r="E59" s="11"/>
      <c r="G59" s="11"/>
      <c r="H59" s="11"/>
      <c r="J59" s="11"/>
      <c r="K59" s="11"/>
      <c r="M59" s="11"/>
      <c r="N59" s="11"/>
      <c r="P59" s="11"/>
      <c r="Q59" s="11"/>
      <c r="S59" s="11"/>
      <c r="T59" s="11"/>
      <c r="V59" s="11"/>
      <c r="W59" s="11"/>
      <c r="Y59" s="11"/>
      <c r="Z59" s="11"/>
      <c r="AB59" s="11"/>
      <c r="AC59" s="11"/>
      <c r="AE59" s="11"/>
      <c r="AF59" s="11"/>
      <c r="AH59" s="11"/>
      <c r="AI59" s="11"/>
      <c r="AK59" s="11"/>
      <c r="AL59" s="11"/>
      <c r="AN59" s="11"/>
      <c r="AO59" s="11"/>
      <c r="AQ59" s="11"/>
      <c r="AR59" s="11"/>
      <c r="AT59" s="11"/>
      <c r="AU59" s="11"/>
      <c r="AW59" s="11"/>
      <c r="AX59" s="11"/>
      <c r="AZ59" s="11"/>
      <c r="BA59" s="11"/>
      <c r="BC59" s="11"/>
      <c r="BD59" s="11"/>
    </row>
    <row r="60" spans="4:56" x14ac:dyDescent="0.25">
      <c r="D60" s="10"/>
      <c r="E60" s="10"/>
      <c r="G60" s="10"/>
      <c r="H60" s="10"/>
      <c r="J60" s="10"/>
      <c r="K60" s="10"/>
      <c r="M60" s="10"/>
      <c r="N60" s="10"/>
      <c r="P60" s="10"/>
      <c r="Q60" s="10"/>
      <c r="S60" s="10"/>
      <c r="T60" s="10"/>
      <c r="V60" s="10"/>
      <c r="W60" s="10"/>
      <c r="Y60" s="10"/>
      <c r="Z60" s="10"/>
      <c r="AB60" s="10"/>
      <c r="AC60" s="10"/>
      <c r="AE60" s="10"/>
      <c r="AF60" s="10"/>
      <c r="AH60" s="10"/>
      <c r="AI60" s="10"/>
      <c r="AK60" s="10"/>
      <c r="AL60" s="10"/>
      <c r="AN60" s="10"/>
      <c r="AO60" s="10"/>
      <c r="AQ60" s="10"/>
      <c r="AR60" s="10"/>
      <c r="AT60" s="10"/>
      <c r="AU60" s="10"/>
      <c r="AW60" s="10"/>
      <c r="AX60" s="10"/>
      <c r="AZ60" s="10"/>
      <c r="BA60" s="10"/>
      <c r="BC60" s="10"/>
      <c r="BD60" s="1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sortState xmlns:xlrd2="http://schemas.microsoft.com/office/spreadsheetml/2017/richdata2" ref="BM4:BP20">
    <sortCondition ref="BP4:BP20"/>
  </sortState>
  <mergeCells count="37">
    <mergeCell ref="BJ2:BL2"/>
    <mergeCell ref="AM1:AO1"/>
    <mergeCell ref="AM2:AO2"/>
    <mergeCell ref="AP1:AR1"/>
    <mergeCell ref="AP2:AR2"/>
    <mergeCell ref="BB2:BD2"/>
    <mergeCell ref="BB1:BD1"/>
    <mergeCell ref="AS1:AU1"/>
    <mergeCell ref="AS2:AU2"/>
    <mergeCell ref="AV1:AX1"/>
    <mergeCell ref="AV2:AX2"/>
    <mergeCell ref="AY1:BA1"/>
    <mergeCell ref="AY2:BA2"/>
    <mergeCell ref="AD1:AF1"/>
    <mergeCell ref="AD2:AF2"/>
    <mergeCell ref="AG1:AI1"/>
    <mergeCell ref="AG2:AI2"/>
    <mergeCell ref="AJ1:AL1"/>
    <mergeCell ref="AJ2:AL2"/>
    <mergeCell ref="U1:W1"/>
    <mergeCell ref="U2:W2"/>
    <mergeCell ref="X1:Z1"/>
    <mergeCell ref="X2:Z2"/>
    <mergeCell ref="AA1:AC1"/>
    <mergeCell ref="AA2:AC2"/>
    <mergeCell ref="L1:N1"/>
    <mergeCell ref="L2:N2"/>
    <mergeCell ref="O1:Q1"/>
    <mergeCell ref="O2:Q2"/>
    <mergeCell ref="R1:T1"/>
    <mergeCell ref="R2:T2"/>
    <mergeCell ref="C1:E1"/>
    <mergeCell ref="C2:E2"/>
    <mergeCell ref="F1:H1"/>
    <mergeCell ref="F2:H2"/>
    <mergeCell ref="I1:K1"/>
    <mergeCell ref="I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F08-B090-42AD-86EF-D22CAFF29122}">
  <sheetPr codeName="Sheet2"/>
  <dimension ref="A1:BL69"/>
  <sheetViews>
    <sheetView zoomScaleNormal="10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C13" sqref="C13:BD13"/>
    </sheetView>
  </sheetViews>
  <sheetFormatPr defaultRowHeight="15" x14ac:dyDescent="0.25"/>
  <cols>
    <col min="1" max="1" width="8.85546875" bestFit="1" customWidth="1"/>
    <col min="2" max="2" width="12.5703125" customWidth="1"/>
    <col min="3" max="3" width="4.7109375" style="2" bestFit="1" customWidth="1"/>
    <col min="4" max="5" width="4.7109375" style="2" customWidth="1"/>
    <col min="6" max="6" width="4.7109375" style="2" bestFit="1" customWidth="1"/>
    <col min="7" max="8" width="4.7109375" style="2" customWidth="1"/>
    <col min="9" max="9" width="4.7109375" style="2" bestFit="1" customWidth="1"/>
    <col min="10" max="11" width="4.7109375" style="2" customWidth="1"/>
    <col min="12" max="12" width="4.7109375" style="2" bestFit="1" customWidth="1"/>
    <col min="13" max="14" width="4.7109375" style="2" customWidth="1"/>
    <col min="15" max="15" width="4.7109375" style="2" bestFit="1" customWidth="1"/>
    <col min="16" max="17" width="4.7109375" style="2" customWidth="1"/>
    <col min="18" max="18" width="4.7109375" style="2" bestFit="1" customWidth="1"/>
    <col min="19" max="20" width="4.7109375" style="2" customWidth="1"/>
    <col min="21" max="21" width="4.7109375" style="2" bestFit="1" customWidth="1"/>
    <col min="22" max="23" width="4.7109375" style="2" customWidth="1"/>
    <col min="24" max="24" width="4.7109375" style="2" bestFit="1" customWidth="1"/>
    <col min="25" max="26" width="4.7109375" style="2" customWidth="1"/>
    <col min="27" max="27" width="4.7109375" style="2" bestFit="1" customWidth="1"/>
    <col min="28" max="29" width="4.7109375" style="2" customWidth="1"/>
    <col min="30" max="30" width="4.7109375" style="2" bestFit="1" customWidth="1"/>
    <col min="31" max="32" width="4.7109375" style="2" customWidth="1"/>
    <col min="33" max="33" width="4.7109375" style="2" bestFit="1" customWidth="1"/>
    <col min="34" max="35" width="4.7109375" style="2" customWidth="1"/>
    <col min="36" max="36" width="4.7109375" style="2" bestFit="1" customWidth="1"/>
    <col min="37" max="38" width="4.7109375" style="2" customWidth="1"/>
    <col min="39" max="39" width="4.7109375" style="2" bestFit="1" customWidth="1"/>
    <col min="40" max="41" width="4.7109375" style="2" customWidth="1"/>
    <col min="42" max="42" width="4.7109375" style="2" bestFit="1" customWidth="1"/>
    <col min="43" max="44" width="4.7109375" style="2" customWidth="1"/>
    <col min="45" max="45" width="4.7109375" style="2" bestFit="1" customWidth="1"/>
    <col min="46" max="47" width="4.7109375" style="2" customWidth="1"/>
    <col min="48" max="48" width="4.7109375" style="2" bestFit="1" customWidth="1"/>
    <col min="49" max="50" width="4.7109375" style="2" customWidth="1"/>
    <col min="51" max="51" width="4.7109375" style="2" bestFit="1" customWidth="1"/>
    <col min="52" max="52" width="4.7109375" style="2" customWidth="1"/>
    <col min="53" max="53" width="5.140625" style="2" customWidth="1"/>
    <col min="54" max="54" width="4.7109375" style="2" bestFit="1" customWidth="1"/>
    <col min="55" max="56" width="4.7109375" style="2" customWidth="1"/>
    <col min="57" max="57" width="4.7109375" bestFit="1" customWidth="1"/>
    <col min="58" max="58" width="8.85546875" bestFit="1" customWidth="1"/>
    <col min="59" max="59" width="11.5703125" bestFit="1" customWidth="1"/>
    <col min="60" max="60" width="4.7109375" customWidth="1"/>
    <col min="61" max="61" width="12" bestFit="1" customWidth="1"/>
    <col min="62" max="62" width="11.5703125" bestFit="1" customWidth="1"/>
    <col min="63" max="63" width="5.5703125" bestFit="1" customWidth="1"/>
  </cols>
  <sheetData>
    <row r="1" spans="1:64" ht="21.95" customHeight="1" x14ac:dyDescent="0.25">
      <c r="A1" s="9" t="s">
        <v>0</v>
      </c>
      <c r="B1" s="7">
        <v>4</v>
      </c>
      <c r="C1" s="52">
        <v>44799</v>
      </c>
      <c r="D1" s="53"/>
      <c r="E1" s="54"/>
      <c r="F1" s="55">
        <f>C1+1</f>
        <v>44800</v>
      </c>
      <c r="G1" s="55"/>
      <c r="H1" s="55"/>
      <c r="I1" s="55">
        <f>F1+1</f>
        <v>44801</v>
      </c>
      <c r="J1" s="55"/>
      <c r="K1" s="55"/>
      <c r="L1" s="55">
        <f>I1+1</f>
        <v>44802</v>
      </c>
      <c r="M1" s="55"/>
      <c r="N1" s="55"/>
      <c r="O1" s="55">
        <f>L1+1</f>
        <v>44803</v>
      </c>
      <c r="P1" s="55"/>
      <c r="Q1" s="55"/>
      <c r="R1" s="55">
        <f>O1+1</f>
        <v>44804</v>
      </c>
      <c r="S1" s="55"/>
      <c r="T1" s="55"/>
      <c r="U1" s="55">
        <f>R1+1</f>
        <v>44805</v>
      </c>
      <c r="V1" s="55"/>
      <c r="W1" s="55"/>
      <c r="X1" s="55">
        <f>U1+1</f>
        <v>44806</v>
      </c>
      <c r="Y1" s="55"/>
      <c r="Z1" s="55"/>
      <c r="AA1" s="55">
        <f>X1+1</f>
        <v>44807</v>
      </c>
      <c r="AB1" s="55"/>
      <c r="AC1" s="55"/>
      <c r="AD1" s="55">
        <f>AA1+1</f>
        <v>44808</v>
      </c>
      <c r="AE1" s="55"/>
      <c r="AF1" s="55"/>
      <c r="AG1" s="55">
        <f>AD1+1</f>
        <v>44809</v>
      </c>
      <c r="AH1" s="55"/>
      <c r="AI1" s="55"/>
      <c r="AJ1" s="55">
        <f>AG1+1</f>
        <v>44810</v>
      </c>
      <c r="AK1" s="55"/>
      <c r="AL1" s="55"/>
      <c r="AM1" s="55">
        <f>AJ1+1</f>
        <v>44811</v>
      </c>
      <c r="AN1" s="55"/>
      <c r="AO1" s="55"/>
      <c r="AP1" s="55">
        <f>AM1+1</f>
        <v>44812</v>
      </c>
      <c r="AQ1" s="55"/>
      <c r="AR1" s="55"/>
      <c r="AS1" s="55">
        <f>AP1+1</f>
        <v>44813</v>
      </c>
      <c r="AT1" s="55"/>
      <c r="AU1" s="55"/>
      <c r="AV1" s="55">
        <f>AS1+1</f>
        <v>44814</v>
      </c>
      <c r="AW1" s="55"/>
      <c r="AX1" s="55"/>
      <c r="AY1" s="55">
        <f>AV1+1</f>
        <v>44815</v>
      </c>
      <c r="AZ1" s="55"/>
      <c r="BA1" s="55"/>
      <c r="BB1" s="55">
        <f t="shared" ref="BB1" si="0">AY1+1</f>
        <v>44816</v>
      </c>
      <c r="BC1" s="55"/>
      <c r="BD1" s="55"/>
      <c r="BE1" s="4"/>
      <c r="BF1" s="4"/>
      <c r="BG1" s="4"/>
      <c r="BH1" s="4"/>
    </row>
    <row r="2" spans="1:64" ht="21" customHeight="1" x14ac:dyDescent="0.25">
      <c r="B2" s="9" t="s">
        <v>1</v>
      </c>
      <c r="C2" s="49">
        <v>433</v>
      </c>
      <c r="D2" s="50"/>
      <c r="E2" s="51"/>
      <c r="F2" s="56">
        <f>C2+1</f>
        <v>434</v>
      </c>
      <c r="G2" s="56"/>
      <c r="H2" s="56"/>
      <c r="I2" s="56">
        <f>F2+1</f>
        <v>435</v>
      </c>
      <c r="J2" s="56"/>
      <c r="K2" s="56"/>
      <c r="L2" s="56">
        <f>I2+1</f>
        <v>436</v>
      </c>
      <c r="M2" s="56"/>
      <c r="N2" s="56"/>
      <c r="O2" s="56">
        <f>L2+1</f>
        <v>437</v>
      </c>
      <c r="P2" s="56"/>
      <c r="Q2" s="56"/>
      <c r="R2" s="56">
        <f>O2+1</f>
        <v>438</v>
      </c>
      <c r="S2" s="56"/>
      <c r="T2" s="56"/>
      <c r="U2" s="56">
        <f>R2+1</f>
        <v>439</v>
      </c>
      <c r="V2" s="56"/>
      <c r="W2" s="56"/>
      <c r="X2" s="56">
        <f>U2+1</f>
        <v>440</v>
      </c>
      <c r="Y2" s="56"/>
      <c r="Z2" s="56"/>
      <c r="AA2" s="56">
        <f>X2+1</f>
        <v>441</v>
      </c>
      <c r="AB2" s="56"/>
      <c r="AC2" s="56"/>
      <c r="AD2" s="56">
        <f>AA2+1</f>
        <v>442</v>
      </c>
      <c r="AE2" s="56"/>
      <c r="AF2" s="56"/>
      <c r="AG2" s="56">
        <f>AD2+1</f>
        <v>443</v>
      </c>
      <c r="AH2" s="56"/>
      <c r="AI2" s="56"/>
      <c r="AJ2" s="56">
        <f>AG2+1</f>
        <v>444</v>
      </c>
      <c r="AK2" s="56"/>
      <c r="AL2" s="56"/>
      <c r="AM2" s="56">
        <f>AJ2+1</f>
        <v>445</v>
      </c>
      <c r="AN2" s="56"/>
      <c r="AO2" s="56"/>
      <c r="AP2" s="56">
        <f>AM2+1</f>
        <v>446</v>
      </c>
      <c r="AQ2" s="56"/>
      <c r="AR2" s="56"/>
      <c r="AS2" s="56">
        <f>AP2+1</f>
        <v>447</v>
      </c>
      <c r="AT2" s="56"/>
      <c r="AU2" s="56"/>
      <c r="AV2" s="56">
        <f>AS2+1</f>
        <v>448</v>
      </c>
      <c r="AW2" s="56"/>
      <c r="AX2" s="56"/>
      <c r="AY2" s="56">
        <f>AV2+1</f>
        <v>449</v>
      </c>
      <c r="AZ2" s="56"/>
      <c r="BA2" s="56"/>
      <c r="BB2" s="56">
        <f t="shared" ref="BB2" si="1">AY2+1</f>
        <v>450</v>
      </c>
      <c r="BC2" s="56"/>
      <c r="BD2" s="56"/>
      <c r="BE2" s="5"/>
      <c r="BF2" s="5"/>
      <c r="BG2" s="5"/>
      <c r="BH2" s="5"/>
      <c r="BI2" s="48" t="s">
        <v>2</v>
      </c>
      <c r="BJ2" s="48"/>
      <c r="BK2" s="48"/>
    </row>
    <row r="3" spans="1:64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ref="BB3" si="2">AY3+1</f>
        <v>18</v>
      </c>
      <c r="BC3" s="12" t="s">
        <v>4</v>
      </c>
      <c r="BD3" s="12" t="s">
        <v>5</v>
      </c>
      <c r="BI3" s="21" t="s">
        <v>6</v>
      </c>
      <c r="BJ3" s="20">
        <f>AY3</f>
        <v>17</v>
      </c>
      <c r="BK3" s="19"/>
    </row>
    <row r="4" spans="1:64" x14ac:dyDescent="0.25">
      <c r="A4" t="s">
        <v>42</v>
      </c>
      <c r="B4" t="s">
        <v>43</v>
      </c>
      <c r="C4" s="16">
        <v>4</v>
      </c>
      <c r="D4" s="2">
        <f>IF(C4&lt;&gt;"",C4-$B$1,"")</f>
        <v>0</v>
      </c>
      <c r="E4" s="13">
        <f>D4</f>
        <v>0</v>
      </c>
      <c r="F4" s="6">
        <f>$C$29</f>
        <v>7</v>
      </c>
      <c r="G4" s="2">
        <f>IF(F4&lt;&gt;"",F4-$B$1,"")</f>
        <v>3</v>
      </c>
      <c r="H4" s="13">
        <f>IF(F4&lt;&gt;"",E4+G4,"")</f>
        <v>3</v>
      </c>
      <c r="I4" s="17">
        <v>3</v>
      </c>
      <c r="J4" s="2">
        <f>IF(I4&lt;&gt;"",I4-$B$1,"")</f>
        <v>-1</v>
      </c>
      <c r="K4" s="13">
        <f>IF(I4&lt;&gt;"",H4+J4,"")</f>
        <v>2</v>
      </c>
      <c r="L4" s="17">
        <v>3</v>
      </c>
      <c r="M4" s="2">
        <f>IF(L4&lt;&gt;"",L4-$B$1,"")</f>
        <v>-1</v>
      </c>
      <c r="N4" s="13">
        <f>IF(L4&lt;&gt;"",K4+M4,"")</f>
        <v>1</v>
      </c>
      <c r="O4" s="17">
        <v>3</v>
      </c>
      <c r="P4" s="2">
        <f>IF(O4&lt;&gt;"",O4-$B$1,"")</f>
        <v>-1</v>
      </c>
      <c r="Q4" s="13">
        <f>IF(O4&lt;&gt;"",N4+P4,"")</f>
        <v>0</v>
      </c>
      <c r="R4" s="17">
        <v>6</v>
      </c>
      <c r="S4" s="2">
        <f>IF(R4&lt;&gt;"",R4-$B$1,"")</f>
        <v>2</v>
      </c>
      <c r="T4" s="13">
        <f>IF(R4&lt;&gt;"",Q4+S4,"")</f>
        <v>2</v>
      </c>
      <c r="U4" s="17">
        <v>4</v>
      </c>
      <c r="V4" s="2">
        <f>IF(U4&lt;&gt;"",U4-$B$1,"")</f>
        <v>0</v>
      </c>
      <c r="W4" s="13">
        <f>IF(U4&lt;&gt;"",T4+V4,"")</f>
        <v>2</v>
      </c>
      <c r="X4" s="17">
        <v>3</v>
      </c>
      <c r="Y4" s="2">
        <f>IF(X4&lt;&gt;"",X4-$B$1,"")</f>
        <v>-1</v>
      </c>
      <c r="Z4" s="13">
        <f>IF(X4&lt;&gt;"",W4+Y4,"")</f>
        <v>1</v>
      </c>
      <c r="AA4" s="17">
        <v>6</v>
      </c>
      <c r="AB4" s="2">
        <f>IF(AA4&lt;&gt;"",AA4-$B$1,"")</f>
        <v>2</v>
      </c>
      <c r="AC4" s="13">
        <f>IF(AA4&lt;&gt;"",Z4+AB4,"")</f>
        <v>3</v>
      </c>
      <c r="AD4" s="17">
        <v>3</v>
      </c>
      <c r="AE4" s="2">
        <f>IF(AD4&lt;&gt;"",AD4-$B$1,"")</f>
        <v>-1</v>
      </c>
      <c r="AF4" s="13">
        <f>IF(AD4&lt;&gt;"",AC4+AE4,"")</f>
        <v>2</v>
      </c>
      <c r="AG4" s="17">
        <v>6</v>
      </c>
      <c r="AH4" s="2">
        <f>IF(AG4&lt;&gt;"",AG4-$B$1,"")</f>
        <v>2</v>
      </c>
      <c r="AI4" s="13">
        <f>IF(AG4&lt;&gt;"",AF4+AH4,"")</f>
        <v>4</v>
      </c>
      <c r="AJ4" s="17">
        <v>3</v>
      </c>
      <c r="AK4" s="2">
        <f>IF(AJ4&lt;&gt;"",AJ4-$B$1,"")</f>
        <v>-1</v>
      </c>
      <c r="AL4" s="13">
        <f>IF(AJ4&lt;&gt;"",AI4+AK4,"")</f>
        <v>3</v>
      </c>
      <c r="AM4" s="17">
        <v>3</v>
      </c>
      <c r="AN4" s="2">
        <f>IF(AM4&lt;&gt;"",AM4-$B$1,"")</f>
        <v>-1</v>
      </c>
      <c r="AO4" s="13">
        <f>IF(AM4&lt;&gt;"",AL4+AN4,"")</f>
        <v>2</v>
      </c>
      <c r="AP4" s="17">
        <v>6</v>
      </c>
      <c r="AQ4" s="2">
        <f>IF(AP4&lt;&gt;"",AP4-$B$1,"")</f>
        <v>2</v>
      </c>
      <c r="AR4" s="13">
        <f>IF(AP4&lt;&gt;"",AO4+AQ4,"")</f>
        <v>4</v>
      </c>
      <c r="AS4" s="17">
        <v>3</v>
      </c>
      <c r="AT4" s="2">
        <f>IF(AS4&lt;&gt;"",AS4-$B$1,"")</f>
        <v>-1</v>
      </c>
      <c r="AU4" s="13">
        <f>IF(AS4&lt;&gt;"",AR4+AT4,"")</f>
        <v>3</v>
      </c>
      <c r="AV4" s="6">
        <f>$C$29</f>
        <v>7</v>
      </c>
      <c r="AW4" s="2">
        <f>IF(AV4&lt;&gt;"",AV4-$B$1,"")</f>
        <v>3</v>
      </c>
      <c r="AX4" s="13">
        <f>IF(AV4&lt;&gt;"",AU4+AW4,"")</f>
        <v>6</v>
      </c>
      <c r="AY4" s="17">
        <v>3</v>
      </c>
      <c r="AZ4" s="2">
        <f>IF(AY4&lt;&gt;"",AY4-$B$1,"")</f>
        <v>-1</v>
      </c>
      <c r="BA4" s="13">
        <f>IF(AY4&lt;&gt;"",AX4+AZ4,"")</f>
        <v>5</v>
      </c>
      <c r="BB4" s="17">
        <v>5</v>
      </c>
      <c r="BC4" s="2">
        <f>IF(BB4&lt;&gt;"",BB4-$B$1,"")</f>
        <v>1</v>
      </c>
      <c r="BD4" s="13">
        <f>IF(BB4&lt;&gt;"",BA4+BC4,"")</f>
        <v>6</v>
      </c>
      <c r="BF4" t="str">
        <f>A4</f>
        <v>Adrian</v>
      </c>
      <c r="BG4" t="str">
        <f>B4</f>
        <v>Stout</v>
      </c>
      <c r="BI4" s="22" t="s">
        <v>21</v>
      </c>
      <c r="BJ4" s="23" t="s">
        <v>31</v>
      </c>
      <c r="BK4" s="24">
        <v>-16</v>
      </c>
      <c r="BL4" s="1"/>
    </row>
    <row r="5" spans="1:64" x14ac:dyDescent="0.25">
      <c r="A5" t="s">
        <v>9</v>
      </c>
      <c r="B5" t="s">
        <v>10</v>
      </c>
      <c r="C5" s="16">
        <v>3</v>
      </c>
      <c r="D5" s="2">
        <f>C5-$B$1</f>
        <v>-1</v>
      </c>
      <c r="E5" s="13">
        <f t="shared" ref="E5:E25" si="3">D5</f>
        <v>-1</v>
      </c>
      <c r="F5" s="17">
        <v>5</v>
      </c>
      <c r="G5" s="2">
        <f t="shared" ref="G5:G25" si="4">IF(F5&lt;&gt;"",F5-$B$1,"")</f>
        <v>1</v>
      </c>
      <c r="H5" s="13">
        <f t="shared" ref="H5:H25" si="5">IF(F5&lt;&gt;"",E5+G5,"")</f>
        <v>0</v>
      </c>
      <c r="I5" s="17">
        <v>4</v>
      </c>
      <c r="J5" s="2">
        <f t="shared" ref="J5:J25" si="6">IF(I5&lt;&gt;"",I5-$B$1,"")</f>
        <v>0</v>
      </c>
      <c r="K5" s="13">
        <f t="shared" ref="K5:K25" si="7">IF(I5&lt;&gt;"",H5+J5,"")</f>
        <v>0</v>
      </c>
      <c r="L5" s="17">
        <v>4</v>
      </c>
      <c r="M5" s="2">
        <f t="shared" ref="M5:M25" si="8">IF(L5&lt;&gt;"",L5-$B$1,"")</f>
        <v>0</v>
      </c>
      <c r="N5" s="13">
        <f t="shared" ref="N5:N25" si="9">IF(L5&lt;&gt;"",K5+M5,"")</f>
        <v>0</v>
      </c>
      <c r="O5" s="17">
        <v>4</v>
      </c>
      <c r="P5" s="2">
        <f t="shared" ref="P5:P25" si="10">IF(O5&lt;&gt;"",O5-$B$1,"")</f>
        <v>0</v>
      </c>
      <c r="Q5" s="13">
        <f t="shared" ref="Q5:Q25" si="11">IF(O5&lt;&gt;"",N5+P5,"")</f>
        <v>0</v>
      </c>
      <c r="R5" s="17">
        <v>4</v>
      </c>
      <c r="S5" s="2">
        <f t="shared" ref="S5:S25" si="12">IF(R5&lt;&gt;"",R5-$B$1,"")</f>
        <v>0</v>
      </c>
      <c r="T5" s="13">
        <f t="shared" ref="T5:T25" si="13">IF(R5&lt;&gt;"",Q5+S5,"")</f>
        <v>0</v>
      </c>
      <c r="U5" s="17">
        <v>4</v>
      </c>
      <c r="V5" s="2">
        <f t="shared" ref="V5:V25" si="14">IF(U5&lt;&gt;"",U5-$B$1,"")</f>
        <v>0</v>
      </c>
      <c r="W5" s="13">
        <f t="shared" ref="W5:W25" si="15">IF(U5&lt;&gt;"",T5+V5,"")</f>
        <v>0</v>
      </c>
      <c r="X5" s="17">
        <v>2</v>
      </c>
      <c r="Y5" s="2">
        <f t="shared" ref="Y5:Y25" si="16">IF(X5&lt;&gt;"",X5-$B$1,"")</f>
        <v>-2</v>
      </c>
      <c r="Z5" s="13">
        <f t="shared" ref="Z5:Z25" si="17">IF(X5&lt;&gt;"",W5+Y5,"")</f>
        <v>-2</v>
      </c>
      <c r="AA5" s="17">
        <v>6</v>
      </c>
      <c r="AB5" s="2">
        <f t="shared" ref="AB5:AB25" si="18">IF(AA5&lt;&gt;"",AA5-$B$1,"")</f>
        <v>2</v>
      </c>
      <c r="AC5" s="13">
        <f t="shared" ref="AC5:AC25" si="19">IF(AA5&lt;&gt;"",Z5+AB5,"")</f>
        <v>0</v>
      </c>
      <c r="AD5" s="17">
        <v>6</v>
      </c>
      <c r="AE5" s="2">
        <f t="shared" ref="AE5:AE25" si="20">IF(AD5&lt;&gt;"",AD5-$B$1,"")</f>
        <v>2</v>
      </c>
      <c r="AF5" s="13">
        <f t="shared" ref="AF5:AF25" si="21">IF(AD5&lt;&gt;"",AC5+AE5,"")</f>
        <v>2</v>
      </c>
      <c r="AG5" s="17">
        <v>5</v>
      </c>
      <c r="AH5" s="2">
        <f t="shared" ref="AH5:AH25" si="22">IF(AG5&lt;&gt;"",AG5-$B$1,"")</f>
        <v>1</v>
      </c>
      <c r="AI5" s="13">
        <f t="shared" ref="AI5:AI25" si="23">IF(AG5&lt;&gt;"",AF5+AH5,"")</f>
        <v>3</v>
      </c>
      <c r="AJ5" s="17">
        <v>5</v>
      </c>
      <c r="AK5" s="2">
        <f t="shared" ref="AK5:AK25" si="24">IF(AJ5&lt;&gt;"",AJ5-$B$1,"")</f>
        <v>1</v>
      </c>
      <c r="AL5" s="13">
        <f t="shared" ref="AL5:AL25" si="25">IF(AJ5&lt;&gt;"",AI5+AK5,"")</f>
        <v>4</v>
      </c>
      <c r="AM5" s="17">
        <v>4</v>
      </c>
      <c r="AN5" s="2">
        <f t="shared" ref="AN5:AN25" si="26">IF(AM5&lt;&gt;"",AM5-$B$1,"")</f>
        <v>0</v>
      </c>
      <c r="AO5" s="13">
        <f t="shared" ref="AO5:AO25" si="27">IF(AM5&lt;&gt;"",AL5+AN5,"")</f>
        <v>4</v>
      </c>
      <c r="AP5" s="17">
        <v>2</v>
      </c>
      <c r="AQ5" s="2">
        <f t="shared" ref="AQ5:AQ25" si="28">IF(AP5&lt;&gt;"",AP5-$B$1,"")</f>
        <v>-2</v>
      </c>
      <c r="AR5" s="13">
        <f t="shared" ref="AR5:AR25" si="29">IF(AP5&lt;&gt;"",AO5+AQ5,"")</f>
        <v>2</v>
      </c>
      <c r="AS5" s="17">
        <v>3</v>
      </c>
      <c r="AT5" s="2">
        <f t="shared" ref="AT5:AT25" si="30">IF(AS5&lt;&gt;"",AS5-$B$1,"")</f>
        <v>-1</v>
      </c>
      <c r="AU5" s="13">
        <f t="shared" ref="AU5:AU25" si="31">IF(AS5&lt;&gt;"",AR5+AT5,"")</f>
        <v>1</v>
      </c>
      <c r="AV5" s="17">
        <v>4</v>
      </c>
      <c r="AW5" s="2">
        <f t="shared" ref="AW5:AW25" si="32">IF(AV5&lt;&gt;"",AV5-$B$1,"")</f>
        <v>0</v>
      </c>
      <c r="AX5" s="13">
        <f t="shared" ref="AX5:AX25" si="33">IF(AV5&lt;&gt;"",AU5+AW5,"")</f>
        <v>1</v>
      </c>
      <c r="AY5" s="17">
        <v>3</v>
      </c>
      <c r="AZ5" s="2">
        <f t="shared" ref="AZ5:AZ25" si="34">IF(AY5&lt;&gt;"",AY5-$B$1,"")</f>
        <v>-1</v>
      </c>
      <c r="BA5" s="13">
        <f>IF(AY5&lt;&gt;"",AX5+AZ5,"")</f>
        <v>0</v>
      </c>
      <c r="BB5" s="17">
        <v>6</v>
      </c>
      <c r="BC5" s="2">
        <f t="shared" ref="BC5:BC25" si="35">IF(BB5&lt;&gt;"",BB5-$B$1,"")</f>
        <v>2</v>
      </c>
      <c r="BD5" s="13">
        <f t="shared" ref="BD5:BD25" si="36">IF(BB5&lt;&gt;"",BA5+BC5,"")</f>
        <v>2</v>
      </c>
      <c r="BF5" t="str">
        <f t="shared" ref="BF5:BF25" si="37">A5</f>
        <v>Alan</v>
      </c>
      <c r="BG5" t="str">
        <f t="shared" ref="BG5:BG25" si="38">B5</f>
        <v>Bentley</v>
      </c>
      <c r="BI5" s="25" t="s">
        <v>48</v>
      </c>
      <c r="BJ5" t="s">
        <v>49</v>
      </c>
      <c r="BK5" s="13">
        <v>-7</v>
      </c>
      <c r="BL5" s="1"/>
    </row>
    <row r="6" spans="1:64" x14ac:dyDescent="0.25">
      <c r="A6" t="s">
        <v>50</v>
      </c>
      <c r="B6" t="s">
        <v>51</v>
      </c>
      <c r="C6" s="16">
        <v>3</v>
      </c>
      <c r="D6" s="2">
        <f t="shared" ref="D6:D25" si="39">C6-$B$1</f>
        <v>-1</v>
      </c>
      <c r="E6" s="13">
        <f t="shared" si="3"/>
        <v>-1</v>
      </c>
      <c r="F6" s="17">
        <v>3</v>
      </c>
      <c r="G6" s="2">
        <f t="shared" si="4"/>
        <v>-1</v>
      </c>
      <c r="H6" s="13">
        <f t="shared" si="5"/>
        <v>-2</v>
      </c>
      <c r="I6" s="17">
        <v>4</v>
      </c>
      <c r="J6" s="2">
        <f t="shared" si="6"/>
        <v>0</v>
      </c>
      <c r="K6" s="13">
        <f t="shared" si="7"/>
        <v>-2</v>
      </c>
      <c r="L6" s="17">
        <v>3</v>
      </c>
      <c r="M6" s="2">
        <f t="shared" si="8"/>
        <v>-1</v>
      </c>
      <c r="N6" s="13">
        <f t="shared" si="9"/>
        <v>-3</v>
      </c>
      <c r="O6" s="17">
        <v>3</v>
      </c>
      <c r="P6" s="2">
        <f t="shared" si="10"/>
        <v>-1</v>
      </c>
      <c r="Q6" s="13">
        <f t="shared" si="11"/>
        <v>-4</v>
      </c>
      <c r="R6" s="17">
        <v>4</v>
      </c>
      <c r="S6" s="2">
        <f t="shared" si="12"/>
        <v>0</v>
      </c>
      <c r="T6" s="13">
        <f t="shared" si="13"/>
        <v>-4</v>
      </c>
      <c r="U6" s="17">
        <v>4</v>
      </c>
      <c r="V6" s="2">
        <f t="shared" si="14"/>
        <v>0</v>
      </c>
      <c r="W6" s="13">
        <f t="shared" si="15"/>
        <v>-4</v>
      </c>
      <c r="X6" s="17">
        <v>3</v>
      </c>
      <c r="Y6" s="2">
        <f t="shared" si="16"/>
        <v>-1</v>
      </c>
      <c r="Z6" s="13">
        <f t="shared" si="17"/>
        <v>-5</v>
      </c>
      <c r="AA6" s="17">
        <v>4</v>
      </c>
      <c r="AB6" s="2">
        <f t="shared" si="18"/>
        <v>0</v>
      </c>
      <c r="AC6" s="13">
        <f t="shared" si="19"/>
        <v>-5</v>
      </c>
      <c r="AD6" s="17">
        <v>3</v>
      </c>
      <c r="AE6" s="2">
        <f t="shared" si="20"/>
        <v>-1</v>
      </c>
      <c r="AF6" s="13">
        <f t="shared" si="21"/>
        <v>-6</v>
      </c>
      <c r="AG6" s="17">
        <v>3</v>
      </c>
      <c r="AH6" s="2">
        <f t="shared" si="22"/>
        <v>-1</v>
      </c>
      <c r="AI6" s="13">
        <f t="shared" si="23"/>
        <v>-7</v>
      </c>
      <c r="AJ6" s="14">
        <f>$C$29</f>
        <v>7</v>
      </c>
      <c r="AK6" s="2">
        <f t="shared" si="24"/>
        <v>3</v>
      </c>
      <c r="AL6" s="13">
        <f t="shared" si="25"/>
        <v>-4</v>
      </c>
      <c r="AM6" s="17">
        <v>5</v>
      </c>
      <c r="AN6" s="2">
        <f t="shared" si="26"/>
        <v>1</v>
      </c>
      <c r="AO6" s="13">
        <f t="shared" si="27"/>
        <v>-3</v>
      </c>
      <c r="AP6" s="6">
        <f>$C$29</f>
        <v>7</v>
      </c>
      <c r="AQ6" s="2">
        <f t="shared" si="28"/>
        <v>3</v>
      </c>
      <c r="AR6" s="13">
        <f t="shared" si="29"/>
        <v>0</v>
      </c>
      <c r="AS6" s="6">
        <f>$C$29</f>
        <v>7</v>
      </c>
      <c r="AT6" s="2">
        <f t="shared" si="30"/>
        <v>3</v>
      </c>
      <c r="AU6" s="13">
        <f t="shared" si="31"/>
        <v>3</v>
      </c>
      <c r="AV6" s="17">
        <v>4</v>
      </c>
      <c r="AW6" s="2">
        <f t="shared" si="32"/>
        <v>0</v>
      </c>
      <c r="AX6" s="13">
        <f t="shared" si="33"/>
        <v>3</v>
      </c>
      <c r="AY6" s="6">
        <f>$C$29</f>
        <v>7</v>
      </c>
      <c r="AZ6" s="2">
        <f t="shared" si="34"/>
        <v>3</v>
      </c>
      <c r="BA6" s="13">
        <f t="shared" ref="BA6:BA25" si="40">IF(AY6&lt;&gt;"",AX6+AZ6,"")</f>
        <v>6</v>
      </c>
      <c r="BB6" s="17">
        <v>4</v>
      </c>
      <c r="BC6" s="2">
        <f t="shared" si="35"/>
        <v>0</v>
      </c>
      <c r="BD6" s="13">
        <f t="shared" si="36"/>
        <v>6</v>
      </c>
      <c r="BF6" t="str">
        <f t="shared" si="37"/>
        <v>Amie</v>
      </c>
      <c r="BG6" t="str">
        <f t="shared" si="38"/>
        <v>Sheedy</v>
      </c>
      <c r="BI6" s="25" t="s">
        <v>44</v>
      </c>
      <c r="BJ6" t="s">
        <v>45</v>
      </c>
      <c r="BK6" s="13">
        <v>-4</v>
      </c>
      <c r="BL6" s="1"/>
    </row>
    <row r="7" spans="1:64" x14ac:dyDescent="0.25">
      <c r="A7" t="s">
        <v>11</v>
      </c>
      <c r="B7" t="s">
        <v>12</v>
      </c>
      <c r="C7" s="16">
        <v>3</v>
      </c>
      <c r="D7" s="2">
        <f>C7-$B$1</f>
        <v>-1</v>
      </c>
      <c r="E7" s="13">
        <f t="shared" si="3"/>
        <v>-1</v>
      </c>
      <c r="F7" s="17">
        <v>3</v>
      </c>
      <c r="G7" s="2">
        <f t="shared" si="4"/>
        <v>-1</v>
      </c>
      <c r="H7" s="13">
        <f t="shared" si="5"/>
        <v>-2</v>
      </c>
      <c r="I7" s="17">
        <v>4</v>
      </c>
      <c r="J7" s="2">
        <f t="shared" si="6"/>
        <v>0</v>
      </c>
      <c r="K7" s="13">
        <f t="shared" si="7"/>
        <v>-2</v>
      </c>
      <c r="L7" s="17">
        <v>2</v>
      </c>
      <c r="M7" s="2">
        <f t="shared" si="8"/>
        <v>-2</v>
      </c>
      <c r="N7" s="13">
        <f t="shared" si="9"/>
        <v>-4</v>
      </c>
      <c r="O7" s="17">
        <v>3</v>
      </c>
      <c r="P7" s="2">
        <f t="shared" si="10"/>
        <v>-1</v>
      </c>
      <c r="Q7" s="13">
        <f t="shared" si="11"/>
        <v>-5</v>
      </c>
      <c r="R7" s="17">
        <v>4</v>
      </c>
      <c r="S7" s="2">
        <f t="shared" si="12"/>
        <v>0</v>
      </c>
      <c r="T7" s="13">
        <f t="shared" si="13"/>
        <v>-5</v>
      </c>
      <c r="U7" s="14">
        <f>$C$29</f>
        <v>7</v>
      </c>
      <c r="V7" s="2">
        <f t="shared" si="14"/>
        <v>3</v>
      </c>
      <c r="W7" s="13">
        <f t="shared" si="15"/>
        <v>-2</v>
      </c>
      <c r="X7" s="17">
        <v>4</v>
      </c>
      <c r="Y7" s="2">
        <f t="shared" si="16"/>
        <v>0</v>
      </c>
      <c r="Z7" s="13">
        <f t="shared" si="17"/>
        <v>-2</v>
      </c>
      <c r="AA7" s="17">
        <v>5</v>
      </c>
      <c r="AB7" s="2">
        <f t="shared" si="18"/>
        <v>1</v>
      </c>
      <c r="AC7" s="13">
        <f t="shared" si="19"/>
        <v>-1</v>
      </c>
      <c r="AD7" s="17">
        <v>4</v>
      </c>
      <c r="AE7" s="2">
        <f t="shared" si="20"/>
        <v>0</v>
      </c>
      <c r="AF7" s="13">
        <f t="shared" si="21"/>
        <v>-1</v>
      </c>
      <c r="AG7" s="17">
        <v>5</v>
      </c>
      <c r="AH7" s="2">
        <f t="shared" si="22"/>
        <v>1</v>
      </c>
      <c r="AI7" s="13">
        <f t="shared" si="23"/>
        <v>0</v>
      </c>
      <c r="AJ7" s="17">
        <v>4</v>
      </c>
      <c r="AK7" s="2">
        <f t="shared" si="24"/>
        <v>0</v>
      </c>
      <c r="AL7" s="13">
        <f t="shared" si="25"/>
        <v>0</v>
      </c>
      <c r="AM7" s="17">
        <v>4</v>
      </c>
      <c r="AN7" s="2">
        <f t="shared" si="26"/>
        <v>0</v>
      </c>
      <c r="AO7" s="13">
        <f t="shared" si="27"/>
        <v>0</v>
      </c>
      <c r="AP7" s="17">
        <v>4</v>
      </c>
      <c r="AQ7" s="2">
        <f t="shared" si="28"/>
        <v>0</v>
      </c>
      <c r="AR7" s="13">
        <f t="shared" si="29"/>
        <v>0</v>
      </c>
      <c r="AS7" s="17">
        <v>4</v>
      </c>
      <c r="AT7" s="2">
        <f t="shared" si="30"/>
        <v>0</v>
      </c>
      <c r="AU7" s="13">
        <f t="shared" si="31"/>
        <v>0</v>
      </c>
      <c r="AV7" s="17">
        <v>4</v>
      </c>
      <c r="AW7" s="2">
        <f t="shared" si="32"/>
        <v>0</v>
      </c>
      <c r="AX7" s="13">
        <f t="shared" si="33"/>
        <v>0</v>
      </c>
      <c r="AY7" s="17">
        <v>5</v>
      </c>
      <c r="AZ7" s="2">
        <f t="shared" si="34"/>
        <v>1</v>
      </c>
      <c r="BA7" s="13">
        <f t="shared" si="40"/>
        <v>1</v>
      </c>
      <c r="BB7" s="17">
        <v>4</v>
      </c>
      <c r="BC7" s="2">
        <f t="shared" si="35"/>
        <v>0</v>
      </c>
      <c r="BD7" s="13">
        <f t="shared" si="36"/>
        <v>1</v>
      </c>
      <c r="BF7" t="str">
        <f t="shared" si="37"/>
        <v>Andy</v>
      </c>
      <c r="BG7" t="str">
        <f t="shared" si="38"/>
        <v>Sleigh</v>
      </c>
      <c r="BI7" s="25" t="s">
        <v>15</v>
      </c>
      <c r="BJ7" t="s">
        <v>16</v>
      </c>
      <c r="BK7" s="13">
        <v>-2</v>
      </c>
      <c r="BL7" s="1"/>
    </row>
    <row r="8" spans="1:64" x14ac:dyDescent="0.25">
      <c r="A8" t="s">
        <v>13</v>
      </c>
      <c r="B8" t="s">
        <v>14</v>
      </c>
      <c r="C8" s="16">
        <v>4</v>
      </c>
      <c r="D8" s="2">
        <f t="shared" si="39"/>
        <v>0</v>
      </c>
      <c r="E8" s="13">
        <f t="shared" si="3"/>
        <v>0</v>
      </c>
      <c r="F8" s="17">
        <v>5</v>
      </c>
      <c r="G8" s="2">
        <f t="shared" si="4"/>
        <v>1</v>
      </c>
      <c r="H8" s="13">
        <f t="shared" si="5"/>
        <v>1</v>
      </c>
      <c r="I8" s="17">
        <v>3</v>
      </c>
      <c r="J8" s="2">
        <f t="shared" si="6"/>
        <v>-1</v>
      </c>
      <c r="K8" s="13">
        <f t="shared" si="7"/>
        <v>0</v>
      </c>
      <c r="L8" s="17">
        <v>4</v>
      </c>
      <c r="M8" s="2">
        <f t="shared" si="8"/>
        <v>0</v>
      </c>
      <c r="N8" s="13">
        <f t="shared" si="9"/>
        <v>0</v>
      </c>
      <c r="O8" s="17">
        <v>4</v>
      </c>
      <c r="P8" s="2">
        <f t="shared" si="10"/>
        <v>0</v>
      </c>
      <c r="Q8" s="13">
        <f t="shared" si="11"/>
        <v>0</v>
      </c>
      <c r="R8" s="17">
        <v>6</v>
      </c>
      <c r="S8" s="2">
        <f t="shared" si="12"/>
        <v>2</v>
      </c>
      <c r="T8" s="13">
        <f t="shared" si="13"/>
        <v>2</v>
      </c>
      <c r="U8" s="17">
        <v>3</v>
      </c>
      <c r="V8" s="2">
        <f t="shared" si="14"/>
        <v>-1</v>
      </c>
      <c r="W8" s="13">
        <f t="shared" si="15"/>
        <v>1</v>
      </c>
      <c r="X8" s="17">
        <v>3</v>
      </c>
      <c r="Y8" s="2">
        <f t="shared" si="16"/>
        <v>-1</v>
      </c>
      <c r="Z8" s="13">
        <f t="shared" si="17"/>
        <v>0</v>
      </c>
      <c r="AA8" s="17">
        <v>4</v>
      </c>
      <c r="AB8" s="2">
        <f t="shared" si="18"/>
        <v>0</v>
      </c>
      <c r="AC8" s="13">
        <f t="shared" si="19"/>
        <v>0</v>
      </c>
      <c r="AD8" s="17">
        <v>4</v>
      </c>
      <c r="AE8" s="2">
        <f t="shared" si="20"/>
        <v>0</v>
      </c>
      <c r="AF8" s="13">
        <f t="shared" si="21"/>
        <v>0</v>
      </c>
      <c r="AG8" s="17">
        <v>4</v>
      </c>
      <c r="AH8" s="2">
        <f t="shared" si="22"/>
        <v>0</v>
      </c>
      <c r="AI8" s="13">
        <f t="shared" si="23"/>
        <v>0</v>
      </c>
      <c r="AJ8" s="17">
        <v>6</v>
      </c>
      <c r="AK8" s="2">
        <f t="shared" si="24"/>
        <v>2</v>
      </c>
      <c r="AL8" s="13">
        <f t="shared" si="25"/>
        <v>2</v>
      </c>
      <c r="AM8" s="17">
        <v>2</v>
      </c>
      <c r="AN8" s="2">
        <f t="shared" si="26"/>
        <v>-2</v>
      </c>
      <c r="AO8" s="13">
        <f t="shared" si="27"/>
        <v>0</v>
      </c>
      <c r="AP8" s="14">
        <f>$C$29</f>
        <v>7</v>
      </c>
      <c r="AQ8" s="2">
        <f t="shared" si="28"/>
        <v>3</v>
      </c>
      <c r="AR8" s="13">
        <f t="shared" si="29"/>
        <v>3</v>
      </c>
      <c r="AS8" s="17">
        <v>3</v>
      </c>
      <c r="AT8" s="2">
        <f t="shared" si="30"/>
        <v>-1</v>
      </c>
      <c r="AU8" s="13">
        <f t="shared" si="31"/>
        <v>2</v>
      </c>
      <c r="AV8" s="17">
        <v>5</v>
      </c>
      <c r="AW8" s="2">
        <f t="shared" si="32"/>
        <v>1</v>
      </c>
      <c r="AX8" s="13">
        <f t="shared" si="33"/>
        <v>3</v>
      </c>
      <c r="AY8" s="17">
        <v>3</v>
      </c>
      <c r="AZ8" s="2">
        <f t="shared" si="34"/>
        <v>-1</v>
      </c>
      <c r="BA8" s="13">
        <f t="shared" si="40"/>
        <v>2</v>
      </c>
      <c r="BB8" s="17">
        <v>6</v>
      </c>
      <c r="BC8" s="2">
        <f t="shared" si="35"/>
        <v>2</v>
      </c>
      <c r="BD8" s="13">
        <f t="shared" si="36"/>
        <v>4</v>
      </c>
      <c r="BF8" t="str">
        <f t="shared" si="37"/>
        <v>Ash</v>
      </c>
      <c r="BG8" t="str">
        <f t="shared" si="38"/>
        <v>Ford-Parker</v>
      </c>
      <c r="BI8" s="25" t="s">
        <v>23</v>
      </c>
      <c r="BJ8" t="s">
        <v>24</v>
      </c>
      <c r="BK8" s="13">
        <v>-2</v>
      </c>
      <c r="BL8" s="1"/>
    </row>
    <row r="9" spans="1:64" x14ac:dyDescent="0.25">
      <c r="A9" t="s">
        <v>17</v>
      </c>
      <c r="B9" t="s">
        <v>18</v>
      </c>
      <c r="C9" s="16">
        <v>3</v>
      </c>
      <c r="D9" s="2">
        <f t="shared" si="39"/>
        <v>-1</v>
      </c>
      <c r="E9" s="13">
        <f t="shared" si="3"/>
        <v>-1</v>
      </c>
      <c r="F9" s="17">
        <v>5</v>
      </c>
      <c r="G9" s="2">
        <f t="shared" si="4"/>
        <v>1</v>
      </c>
      <c r="H9" s="13">
        <f t="shared" si="5"/>
        <v>0</v>
      </c>
      <c r="I9" s="17">
        <v>5</v>
      </c>
      <c r="J9" s="2">
        <f t="shared" si="6"/>
        <v>1</v>
      </c>
      <c r="K9" s="13">
        <f t="shared" si="7"/>
        <v>1</v>
      </c>
      <c r="L9" s="17">
        <v>4</v>
      </c>
      <c r="M9" s="2">
        <f t="shared" si="8"/>
        <v>0</v>
      </c>
      <c r="N9" s="13">
        <f t="shared" si="9"/>
        <v>1</v>
      </c>
      <c r="O9" s="14">
        <f>$C$29</f>
        <v>7</v>
      </c>
      <c r="P9" s="2">
        <f t="shared" si="10"/>
        <v>3</v>
      </c>
      <c r="Q9" s="13">
        <f t="shared" si="11"/>
        <v>4</v>
      </c>
      <c r="R9" s="14">
        <f>$C$29</f>
        <v>7</v>
      </c>
      <c r="S9" s="2">
        <f t="shared" si="12"/>
        <v>3</v>
      </c>
      <c r="T9" s="13">
        <f t="shared" si="13"/>
        <v>7</v>
      </c>
      <c r="U9" s="17">
        <v>4</v>
      </c>
      <c r="V9" s="2">
        <f t="shared" si="14"/>
        <v>0</v>
      </c>
      <c r="W9" s="13">
        <f t="shared" si="15"/>
        <v>7</v>
      </c>
      <c r="X9" s="17">
        <v>4</v>
      </c>
      <c r="Y9" s="2">
        <f t="shared" si="16"/>
        <v>0</v>
      </c>
      <c r="Z9" s="13">
        <f t="shared" si="17"/>
        <v>7</v>
      </c>
      <c r="AA9" s="17">
        <v>4</v>
      </c>
      <c r="AB9" s="2">
        <f t="shared" si="18"/>
        <v>0</v>
      </c>
      <c r="AC9" s="13">
        <f t="shared" si="19"/>
        <v>7</v>
      </c>
      <c r="AD9" s="17">
        <v>5</v>
      </c>
      <c r="AE9" s="2">
        <f t="shared" si="20"/>
        <v>1</v>
      </c>
      <c r="AF9" s="13">
        <f t="shared" si="21"/>
        <v>8</v>
      </c>
      <c r="AG9" s="17">
        <v>4</v>
      </c>
      <c r="AH9" s="2">
        <f t="shared" si="22"/>
        <v>0</v>
      </c>
      <c r="AI9" s="13">
        <f t="shared" si="23"/>
        <v>8</v>
      </c>
      <c r="AJ9" s="17">
        <v>6</v>
      </c>
      <c r="AK9" s="2">
        <f t="shared" si="24"/>
        <v>2</v>
      </c>
      <c r="AL9" s="13">
        <f t="shared" si="25"/>
        <v>10</v>
      </c>
      <c r="AM9" s="17">
        <v>4</v>
      </c>
      <c r="AN9" s="2">
        <f t="shared" si="26"/>
        <v>0</v>
      </c>
      <c r="AO9" s="13">
        <f t="shared" si="27"/>
        <v>10</v>
      </c>
      <c r="AP9" s="17">
        <v>5</v>
      </c>
      <c r="AQ9" s="2">
        <f t="shared" si="28"/>
        <v>1</v>
      </c>
      <c r="AR9" s="13">
        <f t="shared" si="29"/>
        <v>11</v>
      </c>
      <c r="AS9" s="17">
        <v>5</v>
      </c>
      <c r="AT9" s="2">
        <f t="shared" si="30"/>
        <v>1</v>
      </c>
      <c r="AU9" s="13">
        <f t="shared" si="31"/>
        <v>12</v>
      </c>
      <c r="AV9" s="17">
        <v>3</v>
      </c>
      <c r="AW9" s="2">
        <f t="shared" si="32"/>
        <v>-1</v>
      </c>
      <c r="AX9" s="13">
        <f t="shared" si="33"/>
        <v>11</v>
      </c>
      <c r="AY9" s="17">
        <v>3</v>
      </c>
      <c r="AZ9" s="2">
        <f t="shared" si="34"/>
        <v>-1</v>
      </c>
      <c r="BA9" s="13">
        <f t="shared" si="40"/>
        <v>10</v>
      </c>
      <c r="BB9" s="17">
        <v>4</v>
      </c>
      <c r="BC9" s="2">
        <f t="shared" si="35"/>
        <v>0</v>
      </c>
      <c r="BD9" s="13">
        <f t="shared" si="36"/>
        <v>10</v>
      </c>
      <c r="BF9" t="str">
        <f t="shared" si="37"/>
        <v>Charlotte</v>
      </c>
      <c r="BG9" t="str">
        <f t="shared" si="38"/>
        <v>Baxter</v>
      </c>
      <c r="BI9" s="25" t="s">
        <v>52</v>
      </c>
      <c r="BJ9" t="s">
        <v>53</v>
      </c>
      <c r="BK9" s="13">
        <v>-2</v>
      </c>
      <c r="BL9" s="1"/>
    </row>
    <row r="10" spans="1:64" x14ac:dyDescent="0.25">
      <c r="A10" t="s">
        <v>44</v>
      </c>
      <c r="B10" t="s">
        <v>45</v>
      </c>
      <c r="C10" s="16">
        <v>4</v>
      </c>
      <c r="D10" s="2">
        <f t="shared" si="39"/>
        <v>0</v>
      </c>
      <c r="E10" s="13">
        <f t="shared" si="3"/>
        <v>0</v>
      </c>
      <c r="F10" s="17">
        <v>3</v>
      </c>
      <c r="G10" s="2">
        <f t="shared" si="4"/>
        <v>-1</v>
      </c>
      <c r="H10" s="13">
        <f t="shared" si="5"/>
        <v>-1</v>
      </c>
      <c r="I10" s="17">
        <v>5</v>
      </c>
      <c r="J10" s="2">
        <f t="shared" si="6"/>
        <v>1</v>
      </c>
      <c r="K10" s="13">
        <f t="shared" si="7"/>
        <v>0</v>
      </c>
      <c r="L10" s="17">
        <v>4</v>
      </c>
      <c r="M10" s="2">
        <f t="shared" si="8"/>
        <v>0</v>
      </c>
      <c r="N10" s="13">
        <f t="shared" si="9"/>
        <v>0</v>
      </c>
      <c r="O10" s="17">
        <v>4</v>
      </c>
      <c r="P10" s="2">
        <f t="shared" si="10"/>
        <v>0</v>
      </c>
      <c r="Q10" s="13">
        <f t="shared" si="11"/>
        <v>0</v>
      </c>
      <c r="R10" s="17">
        <v>5</v>
      </c>
      <c r="S10" s="2">
        <f t="shared" si="12"/>
        <v>1</v>
      </c>
      <c r="T10" s="13">
        <f t="shared" si="13"/>
        <v>1</v>
      </c>
      <c r="U10" s="17">
        <v>4</v>
      </c>
      <c r="V10" s="2">
        <f t="shared" si="14"/>
        <v>0</v>
      </c>
      <c r="W10" s="13">
        <f t="shared" si="15"/>
        <v>1</v>
      </c>
      <c r="X10" s="17">
        <v>3</v>
      </c>
      <c r="Y10" s="2">
        <f t="shared" si="16"/>
        <v>-1</v>
      </c>
      <c r="Z10" s="13">
        <f t="shared" si="17"/>
        <v>0</v>
      </c>
      <c r="AA10" s="17">
        <v>4</v>
      </c>
      <c r="AB10" s="2">
        <f t="shared" si="18"/>
        <v>0</v>
      </c>
      <c r="AC10" s="13">
        <f t="shared" si="19"/>
        <v>0</v>
      </c>
      <c r="AD10" s="17">
        <v>4</v>
      </c>
      <c r="AE10" s="2">
        <f t="shared" si="20"/>
        <v>0</v>
      </c>
      <c r="AF10" s="13">
        <f t="shared" si="21"/>
        <v>0</v>
      </c>
      <c r="AG10" s="17">
        <v>4</v>
      </c>
      <c r="AH10" s="2">
        <f t="shared" si="22"/>
        <v>0</v>
      </c>
      <c r="AI10" s="13">
        <f t="shared" si="23"/>
        <v>0</v>
      </c>
      <c r="AJ10" s="17">
        <v>4</v>
      </c>
      <c r="AK10" s="2">
        <f t="shared" si="24"/>
        <v>0</v>
      </c>
      <c r="AL10" s="13">
        <f t="shared" si="25"/>
        <v>0</v>
      </c>
      <c r="AM10" s="17">
        <v>5</v>
      </c>
      <c r="AN10" s="2">
        <f t="shared" si="26"/>
        <v>1</v>
      </c>
      <c r="AO10" s="13">
        <f t="shared" si="27"/>
        <v>1</v>
      </c>
      <c r="AP10" s="17">
        <v>3</v>
      </c>
      <c r="AQ10" s="2">
        <f t="shared" si="28"/>
        <v>-1</v>
      </c>
      <c r="AR10" s="13">
        <f t="shared" si="29"/>
        <v>0</v>
      </c>
      <c r="AS10" s="17">
        <v>4</v>
      </c>
      <c r="AT10" s="2">
        <f t="shared" si="30"/>
        <v>0</v>
      </c>
      <c r="AU10" s="13">
        <f t="shared" si="31"/>
        <v>0</v>
      </c>
      <c r="AV10" s="17">
        <v>2</v>
      </c>
      <c r="AW10" s="2">
        <f t="shared" si="32"/>
        <v>-2</v>
      </c>
      <c r="AX10" s="13">
        <f t="shared" si="33"/>
        <v>-2</v>
      </c>
      <c r="AY10" s="17">
        <v>2</v>
      </c>
      <c r="AZ10" s="2">
        <f t="shared" si="34"/>
        <v>-2</v>
      </c>
      <c r="BA10" s="13">
        <f t="shared" si="40"/>
        <v>-4</v>
      </c>
      <c r="BB10" s="17">
        <v>4</v>
      </c>
      <c r="BC10" s="2">
        <f t="shared" si="35"/>
        <v>0</v>
      </c>
      <c r="BD10" s="13">
        <f t="shared" si="36"/>
        <v>-4</v>
      </c>
      <c r="BF10" t="str">
        <f t="shared" si="37"/>
        <v>Dave</v>
      </c>
      <c r="BG10" t="str">
        <f t="shared" si="38"/>
        <v>Hadgraft</v>
      </c>
      <c r="BI10" s="25" t="s">
        <v>46</v>
      </c>
      <c r="BJ10" t="s">
        <v>47</v>
      </c>
      <c r="BK10" s="13">
        <v>-1</v>
      </c>
      <c r="BL10" s="1"/>
    </row>
    <row r="11" spans="1:64" x14ac:dyDescent="0.25">
      <c r="A11" t="s">
        <v>32</v>
      </c>
      <c r="B11" t="s">
        <v>33</v>
      </c>
      <c r="C11" s="16">
        <v>5</v>
      </c>
      <c r="D11" s="2">
        <f t="shared" si="39"/>
        <v>1</v>
      </c>
      <c r="E11" s="13">
        <f t="shared" si="3"/>
        <v>1</v>
      </c>
      <c r="F11" s="17">
        <v>5</v>
      </c>
      <c r="G11" s="2">
        <f t="shared" si="4"/>
        <v>1</v>
      </c>
      <c r="H11" s="13">
        <f t="shared" si="5"/>
        <v>2</v>
      </c>
      <c r="I11" s="17">
        <v>5</v>
      </c>
      <c r="J11" s="2">
        <f t="shared" si="6"/>
        <v>1</v>
      </c>
      <c r="K11" s="13">
        <f t="shared" si="7"/>
        <v>3</v>
      </c>
      <c r="L11" s="17">
        <v>4</v>
      </c>
      <c r="M11" s="2">
        <f t="shared" si="8"/>
        <v>0</v>
      </c>
      <c r="N11" s="13">
        <f t="shared" si="9"/>
        <v>3</v>
      </c>
      <c r="O11" s="17">
        <v>4</v>
      </c>
      <c r="P11" s="2">
        <f t="shared" si="10"/>
        <v>0</v>
      </c>
      <c r="Q11" s="13">
        <f t="shared" si="11"/>
        <v>3</v>
      </c>
      <c r="R11" s="17">
        <v>3</v>
      </c>
      <c r="S11" s="2">
        <f t="shared" si="12"/>
        <v>-1</v>
      </c>
      <c r="T11" s="13">
        <f t="shared" si="13"/>
        <v>2</v>
      </c>
      <c r="U11" s="17">
        <v>3</v>
      </c>
      <c r="V11" s="2">
        <f t="shared" si="14"/>
        <v>-1</v>
      </c>
      <c r="W11" s="13">
        <f t="shared" si="15"/>
        <v>1</v>
      </c>
      <c r="X11" s="17">
        <v>4</v>
      </c>
      <c r="Y11" s="2">
        <f t="shared" si="16"/>
        <v>0</v>
      </c>
      <c r="Z11" s="13">
        <f t="shared" si="17"/>
        <v>1</v>
      </c>
      <c r="AA11" s="17">
        <v>5</v>
      </c>
      <c r="AB11" s="2">
        <f t="shared" si="18"/>
        <v>1</v>
      </c>
      <c r="AC11" s="13">
        <f t="shared" si="19"/>
        <v>2</v>
      </c>
      <c r="AD11" s="17">
        <v>4</v>
      </c>
      <c r="AE11" s="2">
        <f t="shared" si="20"/>
        <v>0</v>
      </c>
      <c r="AF11" s="13">
        <f t="shared" si="21"/>
        <v>2</v>
      </c>
      <c r="AG11" s="17">
        <v>4</v>
      </c>
      <c r="AH11" s="2">
        <f t="shared" si="22"/>
        <v>0</v>
      </c>
      <c r="AI11" s="13">
        <f t="shared" si="23"/>
        <v>2</v>
      </c>
      <c r="AJ11" s="17">
        <v>4</v>
      </c>
      <c r="AK11" s="2">
        <f t="shared" si="24"/>
        <v>0</v>
      </c>
      <c r="AL11" s="13">
        <f t="shared" si="25"/>
        <v>2</v>
      </c>
      <c r="AM11" s="17">
        <v>5</v>
      </c>
      <c r="AN11" s="2">
        <f t="shared" si="26"/>
        <v>1</v>
      </c>
      <c r="AO11" s="13">
        <f t="shared" si="27"/>
        <v>3</v>
      </c>
      <c r="AP11" s="14">
        <f>$C$29</f>
        <v>7</v>
      </c>
      <c r="AQ11" s="2">
        <f t="shared" si="28"/>
        <v>3</v>
      </c>
      <c r="AR11" s="13">
        <f t="shared" si="29"/>
        <v>6</v>
      </c>
      <c r="AS11" s="17">
        <v>3</v>
      </c>
      <c r="AT11" s="2">
        <f t="shared" si="30"/>
        <v>-1</v>
      </c>
      <c r="AU11" s="13">
        <f t="shared" si="31"/>
        <v>5</v>
      </c>
      <c r="AV11" s="17">
        <v>5</v>
      </c>
      <c r="AW11" s="2">
        <f t="shared" si="32"/>
        <v>1</v>
      </c>
      <c r="AX11" s="13">
        <f t="shared" si="33"/>
        <v>6</v>
      </c>
      <c r="AY11" s="17">
        <v>5</v>
      </c>
      <c r="AZ11" s="2">
        <f t="shared" si="34"/>
        <v>1</v>
      </c>
      <c r="BA11" s="13">
        <f t="shared" si="40"/>
        <v>7</v>
      </c>
      <c r="BB11" s="17">
        <v>4</v>
      </c>
      <c r="BC11" s="2">
        <f t="shared" si="35"/>
        <v>0</v>
      </c>
      <c r="BD11" s="13">
        <f t="shared" si="36"/>
        <v>7</v>
      </c>
      <c r="BF11" t="str">
        <f t="shared" si="37"/>
        <v>Ian</v>
      </c>
      <c r="BG11" t="str">
        <f t="shared" si="38"/>
        <v>Cheslett</v>
      </c>
      <c r="BI11" s="25" t="s">
        <v>9</v>
      </c>
      <c r="BJ11" t="s">
        <v>10</v>
      </c>
      <c r="BK11" s="13">
        <v>0</v>
      </c>
      <c r="BL11" s="1"/>
    </row>
    <row r="12" spans="1:64" x14ac:dyDescent="0.25">
      <c r="A12" t="s">
        <v>34</v>
      </c>
      <c r="B12" t="s">
        <v>35</v>
      </c>
      <c r="C12" s="16">
        <v>4</v>
      </c>
      <c r="D12" s="2">
        <f t="shared" si="39"/>
        <v>0</v>
      </c>
      <c r="E12" s="13">
        <f t="shared" si="3"/>
        <v>0</v>
      </c>
      <c r="F12" s="17">
        <v>4</v>
      </c>
      <c r="G12" s="2">
        <f t="shared" si="4"/>
        <v>0</v>
      </c>
      <c r="H12" s="13">
        <f t="shared" si="5"/>
        <v>0</v>
      </c>
      <c r="I12" s="17">
        <v>6</v>
      </c>
      <c r="J12" s="2">
        <f t="shared" si="6"/>
        <v>2</v>
      </c>
      <c r="K12" s="13">
        <f t="shared" si="7"/>
        <v>2</v>
      </c>
      <c r="L12" s="17">
        <v>3</v>
      </c>
      <c r="M12" s="2">
        <f t="shared" si="8"/>
        <v>-1</v>
      </c>
      <c r="N12" s="13">
        <f t="shared" si="9"/>
        <v>1</v>
      </c>
      <c r="O12" s="17">
        <v>3</v>
      </c>
      <c r="P12" s="2">
        <f t="shared" si="10"/>
        <v>-1</v>
      </c>
      <c r="Q12" s="13">
        <f t="shared" si="11"/>
        <v>0</v>
      </c>
      <c r="R12" s="17">
        <v>3</v>
      </c>
      <c r="S12" s="2">
        <f t="shared" si="12"/>
        <v>-1</v>
      </c>
      <c r="T12" s="13">
        <f t="shared" si="13"/>
        <v>-1</v>
      </c>
      <c r="U12" s="17">
        <v>4</v>
      </c>
      <c r="V12" s="2">
        <f t="shared" si="14"/>
        <v>0</v>
      </c>
      <c r="W12" s="13">
        <f t="shared" si="15"/>
        <v>-1</v>
      </c>
      <c r="X12" s="17">
        <v>3</v>
      </c>
      <c r="Y12" s="2">
        <f t="shared" si="16"/>
        <v>-1</v>
      </c>
      <c r="Z12" s="13">
        <f t="shared" si="17"/>
        <v>-2</v>
      </c>
      <c r="AA12" s="17">
        <v>3</v>
      </c>
      <c r="AB12" s="2">
        <f t="shared" si="18"/>
        <v>-1</v>
      </c>
      <c r="AC12" s="13">
        <f t="shared" si="19"/>
        <v>-3</v>
      </c>
      <c r="AD12" s="17">
        <v>4</v>
      </c>
      <c r="AE12" s="2">
        <f t="shared" si="20"/>
        <v>0</v>
      </c>
      <c r="AF12" s="13">
        <f t="shared" si="21"/>
        <v>-3</v>
      </c>
      <c r="AG12" s="17">
        <v>5</v>
      </c>
      <c r="AH12" s="2">
        <f t="shared" si="22"/>
        <v>1</v>
      </c>
      <c r="AI12" s="13">
        <f t="shared" si="23"/>
        <v>-2</v>
      </c>
      <c r="AJ12" s="17">
        <v>6</v>
      </c>
      <c r="AK12" s="2">
        <f t="shared" si="24"/>
        <v>2</v>
      </c>
      <c r="AL12" s="13">
        <f t="shared" si="25"/>
        <v>0</v>
      </c>
      <c r="AM12" s="17">
        <v>6</v>
      </c>
      <c r="AN12" s="2">
        <f t="shared" si="26"/>
        <v>2</v>
      </c>
      <c r="AO12" s="13">
        <f t="shared" si="27"/>
        <v>2</v>
      </c>
      <c r="AP12" s="17">
        <v>4</v>
      </c>
      <c r="AQ12" s="2">
        <f t="shared" si="28"/>
        <v>0</v>
      </c>
      <c r="AR12" s="13">
        <f t="shared" si="29"/>
        <v>2</v>
      </c>
      <c r="AS12" s="17">
        <v>5</v>
      </c>
      <c r="AT12" s="2">
        <f t="shared" si="30"/>
        <v>1</v>
      </c>
      <c r="AU12" s="13">
        <f t="shared" si="31"/>
        <v>3</v>
      </c>
      <c r="AV12" s="17">
        <v>5</v>
      </c>
      <c r="AW12" s="2">
        <f t="shared" si="32"/>
        <v>1</v>
      </c>
      <c r="AX12" s="13">
        <f t="shared" si="33"/>
        <v>4</v>
      </c>
      <c r="AY12" s="17">
        <v>4</v>
      </c>
      <c r="AZ12" s="2">
        <f t="shared" si="34"/>
        <v>0</v>
      </c>
      <c r="BA12" s="13">
        <f t="shared" si="40"/>
        <v>4</v>
      </c>
      <c r="BB12" s="17">
        <v>5</v>
      </c>
      <c r="BC12" s="2">
        <f t="shared" si="35"/>
        <v>1</v>
      </c>
      <c r="BD12" s="13">
        <f t="shared" si="36"/>
        <v>5</v>
      </c>
      <c r="BF12" t="str">
        <f t="shared" si="37"/>
        <v>Jill</v>
      </c>
      <c r="BG12" t="str">
        <f t="shared" si="38"/>
        <v>Stevens</v>
      </c>
      <c r="BI12" s="25" t="s">
        <v>11</v>
      </c>
      <c r="BJ12" t="s">
        <v>12</v>
      </c>
      <c r="BK12" s="13">
        <v>1</v>
      </c>
      <c r="BL12" s="1"/>
    </row>
    <row r="13" spans="1:64" x14ac:dyDescent="0.25">
      <c r="A13" t="s">
        <v>15</v>
      </c>
      <c r="B13" t="s">
        <v>16</v>
      </c>
      <c r="C13" s="16">
        <v>4</v>
      </c>
      <c r="D13" s="2">
        <f t="shared" si="39"/>
        <v>0</v>
      </c>
      <c r="E13" s="13">
        <f t="shared" si="3"/>
        <v>0</v>
      </c>
      <c r="F13" s="17">
        <v>3</v>
      </c>
      <c r="G13" s="2">
        <f t="shared" si="4"/>
        <v>-1</v>
      </c>
      <c r="H13" s="13">
        <f t="shared" si="5"/>
        <v>-1</v>
      </c>
      <c r="I13" s="17">
        <v>5</v>
      </c>
      <c r="J13" s="2">
        <f t="shared" si="6"/>
        <v>1</v>
      </c>
      <c r="K13" s="13">
        <f t="shared" si="7"/>
        <v>0</v>
      </c>
      <c r="L13" s="17">
        <v>3</v>
      </c>
      <c r="M13" s="2">
        <f t="shared" si="8"/>
        <v>-1</v>
      </c>
      <c r="N13" s="13">
        <f t="shared" si="9"/>
        <v>-1</v>
      </c>
      <c r="O13" s="17">
        <v>4</v>
      </c>
      <c r="P13" s="2">
        <f t="shared" si="10"/>
        <v>0</v>
      </c>
      <c r="Q13" s="13">
        <f t="shared" si="11"/>
        <v>-1</v>
      </c>
      <c r="R13" s="17">
        <v>4</v>
      </c>
      <c r="S13" s="2">
        <f t="shared" si="12"/>
        <v>0</v>
      </c>
      <c r="T13" s="13">
        <f t="shared" si="13"/>
        <v>-1</v>
      </c>
      <c r="U13" s="17">
        <v>3</v>
      </c>
      <c r="V13" s="2">
        <f t="shared" si="14"/>
        <v>-1</v>
      </c>
      <c r="W13" s="13">
        <f t="shared" si="15"/>
        <v>-2</v>
      </c>
      <c r="X13" s="17">
        <v>3</v>
      </c>
      <c r="Y13" s="2">
        <f t="shared" si="16"/>
        <v>-1</v>
      </c>
      <c r="Z13" s="13">
        <f t="shared" si="17"/>
        <v>-3</v>
      </c>
      <c r="AA13" s="17">
        <v>5</v>
      </c>
      <c r="AB13" s="2">
        <f t="shared" si="18"/>
        <v>1</v>
      </c>
      <c r="AC13" s="13">
        <f t="shared" si="19"/>
        <v>-2</v>
      </c>
      <c r="AD13" s="17">
        <v>5</v>
      </c>
      <c r="AE13" s="2">
        <f t="shared" si="20"/>
        <v>1</v>
      </c>
      <c r="AF13" s="13">
        <f t="shared" si="21"/>
        <v>-1</v>
      </c>
      <c r="AG13" s="17">
        <v>4</v>
      </c>
      <c r="AH13" s="2">
        <f t="shared" si="22"/>
        <v>0</v>
      </c>
      <c r="AI13" s="13">
        <f t="shared" si="23"/>
        <v>-1</v>
      </c>
      <c r="AJ13" s="17">
        <v>4</v>
      </c>
      <c r="AK13" s="2">
        <f t="shared" si="24"/>
        <v>0</v>
      </c>
      <c r="AL13" s="13">
        <f t="shared" si="25"/>
        <v>-1</v>
      </c>
      <c r="AM13" s="14">
        <f>$C$29</f>
        <v>7</v>
      </c>
      <c r="AN13" s="2">
        <f t="shared" si="26"/>
        <v>3</v>
      </c>
      <c r="AO13" s="13">
        <f t="shared" si="27"/>
        <v>2</v>
      </c>
      <c r="AP13" s="17">
        <v>3</v>
      </c>
      <c r="AQ13" s="2">
        <f t="shared" si="28"/>
        <v>-1</v>
      </c>
      <c r="AR13" s="13">
        <f t="shared" si="29"/>
        <v>1</v>
      </c>
      <c r="AS13" s="17">
        <v>3</v>
      </c>
      <c r="AT13" s="2">
        <f t="shared" si="30"/>
        <v>-1</v>
      </c>
      <c r="AU13" s="13">
        <f t="shared" si="31"/>
        <v>0</v>
      </c>
      <c r="AV13" s="17">
        <v>3</v>
      </c>
      <c r="AW13" s="2">
        <f t="shared" si="32"/>
        <v>-1</v>
      </c>
      <c r="AX13" s="13">
        <f t="shared" si="33"/>
        <v>-1</v>
      </c>
      <c r="AY13" s="17">
        <v>3</v>
      </c>
      <c r="AZ13" s="2">
        <f t="shared" si="34"/>
        <v>-1</v>
      </c>
      <c r="BA13" s="13">
        <f t="shared" si="40"/>
        <v>-2</v>
      </c>
      <c r="BB13" s="17">
        <v>4</v>
      </c>
      <c r="BC13" s="2">
        <f t="shared" si="35"/>
        <v>0</v>
      </c>
      <c r="BD13" s="13">
        <f t="shared" si="36"/>
        <v>-2</v>
      </c>
      <c r="BF13" t="str">
        <f t="shared" si="37"/>
        <v>Joe</v>
      </c>
      <c r="BG13" t="str">
        <f t="shared" si="38"/>
        <v>Cunningham</v>
      </c>
      <c r="BI13" s="25" t="s">
        <v>54</v>
      </c>
      <c r="BJ13" t="s">
        <v>55</v>
      </c>
      <c r="BK13" s="13">
        <v>2</v>
      </c>
      <c r="BL13" s="1"/>
    </row>
    <row r="14" spans="1:64" x14ac:dyDescent="0.25">
      <c r="A14" t="s">
        <v>29</v>
      </c>
      <c r="B14" t="s">
        <v>30</v>
      </c>
      <c r="C14" s="27">
        <f>$C$31</f>
        <v>7</v>
      </c>
      <c r="D14" s="2">
        <f t="shared" si="39"/>
        <v>3</v>
      </c>
      <c r="E14" s="13">
        <f t="shared" si="3"/>
        <v>3</v>
      </c>
      <c r="F14" s="27">
        <f>$C$31</f>
        <v>7</v>
      </c>
      <c r="G14" s="2">
        <f t="shared" si="4"/>
        <v>3</v>
      </c>
      <c r="H14" s="13">
        <f t="shared" si="5"/>
        <v>6</v>
      </c>
      <c r="I14" s="27">
        <f>$C$31</f>
        <v>7</v>
      </c>
      <c r="J14" s="2">
        <f t="shared" si="6"/>
        <v>3</v>
      </c>
      <c r="K14" s="13">
        <f t="shared" si="7"/>
        <v>9</v>
      </c>
      <c r="L14" s="27">
        <f>$C$31</f>
        <v>7</v>
      </c>
      <c r="M14" s="2">
        <f t="shared" si="8"/>
        <v>3</v>
      </c>
      <c r="N14" s="13">
        <f t="shared" si="9"/>
        <v>12</v>
      </c>
      <c r="O14" s="27">
        <f>$C$31</f>
        <v>7</v>
      </c>
      <c r="P14" s="2">
        <f t="shared" si="10"/>
        <v>3</v>
      </c>
      <c r="Q14" s="13">
        <f t="shared" si="11"/>
        <v>15</v>
      </c>
      <c r="R14" s="27">
        <f>$C$31</f>
        <v>7</v>
      </c>
      <c r="S14" s="2">
        <f t="shared" si="12"/>
        <v>3</v>
      </c>
      <c r="T14" s="13">
        <f t="shared" si="13"/>
        <v>18</v>
      </c>
      <c r="U14" s="27">
        <f>$C$31</f>
        <v>7</v>
      </c>
      <c r="V14" s="2">
        <f t="shared" si="14"/>
        <v>3</v>
      </c>
      <c r="W14" s="13">
        <f t="shared" si="15"/>
        <v>21</v>
      </c>
      <c r="X14" s="27">
        <f>$C$31</f>
        <v>7</v>
      </c>
      <c r="Y14" s="2">
        <f t="shared" si="16"/>
        <v>3</v>
      </c>
      <c r="Z14" s="13">
        <f t="shared" si="17"/>
        <v>24</v>
      </c>
      <c r="AA14" s="27">
        <f>$C$31</f>
        <v>7</v>
      </c>
      <c r="AB14" s="2">
        <f t="shared" si="18"/>
        <v>3</v>
      </c>
      <c r="AC14" s="13">
        <f t="shared" si="19"/>
        <v>27</v>
      </c>
      <c r="AD14" s="27">
        <f>$C$31</f>
        <v>7</v>
      </c>
      <c r="AE14" s="2">
        <f t="shared" si="20"/>
        <v>3</v>
      </c>
      <c r="AF14" s="13">
        <f t="shared" si="21"/>
        <v>30</v>
      </c>
      <c r="AG14" s="27">
        <f>$C$31</f>
        <v>7</v>
      </c>
      <c r="AH14" s="2">
        <f t="shared" si="22"/>
        <v>3</v>
      </c>
      <c r="AI14" s="13">
        <f t="shared" si="23"/>
        <v>33</v>
      </c>
      <c r="AJ14" s="27">
        <f>$C$31</f>
        <v>7</v>
      </c>
      <c r="AK14" s="2">
        <f t="shared" si="24"/>
        <v>3</v>
      </c>
      <c r="AL14" s="13">
        <f t="shared" si="25"/>
        <v>36</v>
      </c>
      <c r="AM14" s="27">
        <f>$C$31</f>
        <v>7</v>
      </c>
      <c r="AN14" s="2">
        <f t="shared" si="26"/>
        <v>3</v>
      </c>
      <c r="AO14" s="13">
        <f t="shared" si="27"/>
        <v>39</v>
      </c>
      <c r="AP14" s="17">
        <v>3</v>
      </c>
      <c r="AQ14" s="2">
        <f t="shared" si="28"/>
        <v>-1</v>
      </c>
      <c r="AR14" s="13">
        <f t="shared" si="29"/>
        <v>38</v>
      </c>
      <c r="AS14" s="17">
        <v>3</v>
      </c>
      <c r="AT14" s="2">
        <f t="shared" si="30"/>
        <v>-1</v>
      </c>
      <c r="AU14" s="13">
        <f t="shared" si="31"/>
        <v>37</v>
      </c>
      <c r="AV14" s="17">
        <v>2</v>
      </c>
      <c r="AW14" s="2">
        <f t="shared" si="32"/>
        <v>-2</v>
      </c>
      <c r="AX14" s="13">
        <f t="shared" si="33"/>
        <v>35</v>
      </c>
      <c r="AY14" s="17">
        <v>2</v>
      </c>
      <c r="AZ14" s="2">
        <f t="shared" si="34"/>
        <v>-2</v>
      </c>
      <c r="BA14" s="13">
        <f t="shared" si="40"/>
        <v>33</v>
      </c>
      <c r="BB14" s="17">
        <v>4</v>
      </c>
      <c r="BC14" s="2">
        <f t="shared" si="35"/>
        <v>0</v>
      </c>
      <c r="BD14" s="13">
        <f t="shared" si="36"/>
        <v>33</v>
      </c>
      <c r="BF14" t="str">
        <f t="shared" si="37"/>
        <v>Josie</v>
      </c>
      <c r="BG14" t="str">
        <f t="shared" si="38"/>
        <v>Hart</v>
      </c>
      <c r="BI14" s="25" t="s">
        <v>36</v>
      </c>
      <c r="BJ14" t="s">
        <v>37</v>
      </c>
      <c r="BK14" s="13">
        <v>2</v>
      </c>
      <c r="BL14" s="1"/>
    </row>
    <row r="15" spans="1:64" x14ac:dyDescent="0.25">
      <c r="A15" t="s">
        <v>52</v>
      </c>
      <c r="B15" t="s">
        <v>53</v>
      </c>
      <c r="C15" s="16">
        <v>3</v>
      </c>
      <c r="D15" s="2">
        <f t="shared" si="39"/>
        <v>-1</v>
      </c>
      <c r="E15" s="13">
        <f t="shared" si="3"/>
        <v>-1</v>
      </c>
      <c r="F15" s="17">
        <v>3</v>
      </c>
      <c r="G15" s="2">
        <f t="shared" si="4"/>
        <v>-1</v>
      </c>
      <c r="H15" s="13">
        <f t="shared" si="5"/>
        <v>-2</v>
      </c>
      <c r="I15" s="17">
        <v>4</v>
      </c>
      <c r="J15" s="2">
        <f t="shared" si="6"/>
        <v>0</v>
      </c>
      <c r="K15" s="13">
        <f t="shared" si="7"/>
        <v>-2</v>
      </c>
      <c r="L15" s="17">
        <v>4</v>
      </c>
      <c r="M15" s="2">
        <f t="shared" si="8"/>
        <v>0</v>
      </c>
      <c r="N15" s="13">
        <f t="shared" si="9"/>
        <v>-2</v>
      </c>
      <c r="O15" s="17">
        <v>3</v>
      </c>
      <c r="P15" s="2">
        <f t="shared" si="10"/>
        <v>-1</v>
      </c>
      <c r="Q15" s="13">
        <f t="shared" si="11"/>
        <v>-3</v>
      </c>
      <c r="R15" s="17">
        <v>4</v>
      </c>
      <c r="S15" s="2">
        <f t="shared" si="12"/>
        <v>0</v>
      </c>
      <c r="T15" s="13">
        <f t="shared" si="13"/>
        <v>-3</v>
      </c>
      <c r="U15" s="17">
        <v>3</v>
      </c>
      <c r="V15" s="2">
        <f t="shared" si="14"/>
        <v>-1</v>
      </c>
      <c r="W15" s="13">
        <f t="shared" si="15"/>
        <v>-4</v>
      </c>
      <c r="X15" s="17">
        <v>4</v>
      </c>
      <c r="Y15" s="2">
        <f t="shared" si="16"/>
        <v>0</v>
      </c>
      <c r="Z15" s="13">
        <f t="shared" si="17"/>
        <v>-4</v>
      </c>
      <c r="AA15" s="17">
        <v>5</v>
      </c>
      <c r="AB15" s="2">
        <f t="shared" si="18"/>
        <v>1</v>
      </c>
      <c r="AC15" s="13">
        <f t="shared" si="19"/>
        <v>-3</v>
      </c>
      <c r="AD15" s="17">
        <v>3</v>
      </c>
      <c r="AE15" s="2">
        <f t="shared" si="20"/>
        <v>-1</v>
      </c>
      <c r="AF15" s="13">
        <f t="shared" si="21"/>
        <v>-4</v>
      </c>
      <c r="AG15" s="17">
        <v>4</v>
      </c>
      <c r="AH15" s="2">
        <f t="shared" si="22"/>
        <v>0</v>
      </c>
      <c r="AI15" s="13">
        <f t="shared" si="23"/>
        <v>-4</v>
      </c>
      <c r="AJ15" s="17">
        <v>5</v>
      </c>
      <c r="AK15" s="2">
        <f t="shared" si="24"/>
        <v>1</v>
      </c>
      <c r="AL15" s="13">
        <f t="shared" si="25"/>
        <v>-3</v>
      </c>
      <c r="AM15" s="17">
        <v>4</v>
      </c>
      <c r="AN15" s="2">
        <f t="shared" si="26"/>
        <v>0</v>
      </c>
      <c r="AO15" s="13">
        <f t="shared" si="27"/>
        <v>-3</v>
      </c>
      <c r="AP15" s="14">
        <f>$C$29</f>
        <v>7</v>
      </c>
      <c r="AQ15" s="2">
        <f t="shared" si="28"/>
        <v>3</v>
      </c>
      <c r="AR15" s="13">
        <f t="shared" si="29"/>
        <v>0</v>
      </c>
      <c r="AS15" s="17">
        <v>3</v>
      </c>
      <c r="AT15" s="2">
        <f t="shared" si="30"/>
        <v>-1</v>
      </c>
      <c r="AU15" s="13">
        <f t="shared" si="31"/>
        <v>-1</v>
      </c>
      <c r="AV15" s="17">
        <v>4</v>
      </c>
      <c r="AW15" s="2">
        <f t="shared" si="32"/>
        <v>0</v>
      </c>
      <c r="AX15" s="13">
        <f t="shared" si="33"/>
        <v>-1</v>
      </c>
      <c r="AY15" s="17">
        <v>3</v>
      </c>
      <c r="AZ15" s="2">
        <f t="shared" si="34"/>
        <v>-1</v>
      </c>
      <c r="BA15" s="13">
        <f t="shared" si="40"/>
        <v>-2</v>
      </c>
      <c r="BB15" s="17">
        <v>4</v>
      </c>
      <c r="BC15" s="2">
        <f t="shared" si="35"/>
        <v>0</v>
      </c>
      <c r="BD15" s="13">
        <f t="shared" si="36"/>
        <v>-2</v>
      </c>
      <c r="BF15" t="str">
        <f t="shared" si="37"/>
        <v>Kate</v>
      </c>
      <c r="BG15" t="str">
        <f t="shared" si="38"/>
        <v>Newman</v>
      </c>
      <c r="BI15" s="25" t="s">
        <v>13</v>
      </c>
      <c r="BJ15" t="s">
        <v>14</v>
      </c>
      <c r="BK15" s="13">
        <v>2</v>
      </c>
      <c r="BL15" s="1"/>
    </row>
    <row r="16" spans="1:64" x14ac:dyDescent="0.25">
      <c r="A16" t="s">
        <v>36</v>
      </c>
      <c r="B16" t="s">
        <v>37</v>
      </c>
      <c r="C16" s="16">
        <v>3</v>
      </c>
      <c r="D16" s="2">
        <f t="shared" si="39"/>
        <v>-1</v>
      </c>
      <c r="E16" s="13">
        <f t="shared" si="3"/>
        <v>-1</v>
      </c>
      <c r="F16" s="17">
        <v>3</v>
      </c>
      <c r="G16" s="2">
        <f t="shared" si="4"/>
        <v>-1</v>
      </c>
      <c r="H16" s="13">
        <f t="shared" si="5"/>
        <v>-2</v>
      </c>
      <c r="I16" s="17">
        <v>4</v>
      </c>
      <c r="J16" s="2">
        <f t="shared" si="6"/>
        <v>0</v>
      </c>
      <c r="K16" s="13">
        <f t="shared" si="7"/>
        <v>-2</v>
      </c>
      <c r="L16" s="17">
        <v>3</v>
      </c>
      <c r="M16" s="2">
        <f t="shared" si="8"/>
        <v>-1</v>
      </c>
      <c r="N16" s="13">
        <f t="shared" si="9"/>
        <v>-3</v>
      </c>
      <c r="O16" s="17">
        <v>3</v>
      </c>
      <c r="P16" s="2">
        <f t="shared" si="10"/>
        <v>-1</v>
      </c>
      <c r="Q16" s="13">
        <f t="shared" si="11"/>
        <v>-4</v>
      </c>
      <c r="R16" s="17">
        <v>3</v>
      </c>
      <c r="S16" s="2">
        <f t="shared" si="12"/>
        <v>-1</v>
      </c>
      <c r="T16" s="13">
        <f t="shared" si="13"/>
        <v>-5</v>
      </c>
      <c r="U16" s="17">
        <v>4</v>
      </c>
      <c r="V16" s="2">
        <f t="shared" si="14"/>
        <v>0</v>
      </c>
      <c r="W16" s="13">
        <f t="shared" si="15"/>
        <v>-5</v>
      </c>
      <c r="X16" s="14">
        <f>$C$29</f>
        <v>7</v>
      </c>
      <c r="Y16" s="2">
        <f t="shared" si="16"/>
        <v>3</v>
      </c>
      <c r="Z16" s="13">
        <f t="shared" si="17"/>
        <v>-2</v>
      </c>
      <c r="AA16" s="17">
        <v>4</v>
      </c>
      <c r="AB16" s="2">
        <f t="shared" si="18"/>
        <v>0</v>
      </c>
      <c r="AC16" s="13">
        <f t="shared" si="19"/>
        <v>-2</v>
      </c>
      <c r="AD16" s="8">
        <f>$C$30</f>
        <v>7</v>
      </c>
      <c r="AE16" s="2">
        <f t="shared" si="20"/>
        <v>3</v>
      </c>
      <c r="AF16" s="13">
        <f t="shared" si="21"/>
        <v>1</v>
      </c>
      <c r="AG16" s="17">
        <v>3</v>
      </c>
      <c r="AH16" s="2">
        <f t="shared" si="22"/>
        <v>-1</v>
      </c>
      <c r="AI16" s="13">
        <f t="shared" si="23"/>
        <v>0</v>
      </c>
      <c r="AJ16" s="17">
        <v>4</v>
      </c>
      <c r="AK16" s="2">
        <f t="shared" si="24"/>
        <v>0</v>
      </c>
      <c r="AL16" s="13">
        <f t="shared" si="25"/>
        <v>0</v>
      </c>
      <c r="AM16" s="17">
        <v>6</v>
      </c>
      <c r="AN16" s="2">
        <f t="shared" si="26"/>
        <v>2</v>
      </c>
      <c r="AO16" s="13">
        <f t="shared" si="27"/>
        <v>2</v>
      </c>
      <c r="AP16" s="17">
        <v>6</v>
      </c>
      <c r="AQ16" s="2">
        <f t="shared" si="28"/>
        <v>2</v>
      </c>
      <c r="AR16" s="13">
        <f t="shared" si="29"/>
        <v>4</v>
      </c>
      <c r="AS16" s="17">
        <v>3</v>
      </c>
      <c r="AT16" s="2">
        <f t="shared" si="30"/>
        <v>-1</v>
      </c>
      <c r="AU16" s="13">
        <f t="shared" si="31"/>
        <v>3</v>
      </c>
      <c r="AV16" s="17">
        <v>4</v>
      </c>
      <c r="AW16" s="2">
        <f t="shared" si="32"/>
        <v>0</v>
      </c>
      <c r="AX16" s="13">
        <f t="shared" si="33"/>
        <v>3</v>
      </c>
      <c r="AY16" s="17">
        <v>3</v>
      </c>
      <c r="AZ16" s="2">
        <f t="shared" si="34"/>
        <v>-1</v>
      </c>
      <c r="BA16" s="13">
        <f t="shared" si="40"/>
        <v>2</v>
      </c>
      <c r="BB16" s="17">
        <v>3</v>
      </c>
      <c r="BC16" s="2">
        <f t="shared" si="35"/>
        <v>-1</v>
      </c>
      <c r="BD16" s="13">
        <f t="shared" si="36"/>
        <v>1</v>
      </c>
      <c r="BF16" t="str">
        <f t="shared" si="37"/>
        <v>Marella</v>
      </c>
      <c r="BG16" t="str">
        <f t="shared" si="38"/>
        <v>Cairns</v>
      </c>
      <c r="BI16" s="25" t="s">
        <v>34</v>
      </c>
      <c r="BJ16" t="s">
        <v>35</v>
      </c>
      <c r="BK16" s="13">
        <v>4</v>
      </c>
      <c r="BL16" s="1"/>
    </row>
    <row r="17" spans="1:64" x14ac:dyDescent="0.25">
      <c r="A17" t="s">
        <v>19</v>
      </c>
      <c r="B17" t="s">
        <v>20</v>
      </c>
      <c r="C17" s="16">
        <v>5</v>
      </c>
      <c r="D17" s="2">
        <f t="shared" si="39"/>
        <v>1</v>
      </c>
      <c r="E17" s="13">
        <f t="shared" si="3"/>
        <v>1</v>
      </c>
      <c r="F17" s="17">
        <v>6</v>
      </c>
      <c r="G17" s="2">
        <f t="shared" si="4"/>
        <v>2</v>
      </c>
      <c r="H17" s="13">
        <f t="shared" si="5"/>
        <v>3</v>
      </c>
      <c r="I17" s="17">
        <v>4</v>
      </c>
      <c r="J17" s="2">
        <f t="shared" si="6"/>
        <v>0</v>
      </c>
      <c r="K17" s="13">
        <f t="shared" si="7"/>
        <v>3</v>
      </c>
      <c r="L17" s="17">
        <v>3</v>
      </c>
      <c r="M17" s="2">
        <f t="shared" si="8"/>
        <v>-1</v>
      </c>
      <c r="N17" s="13">
        <f t="shared" si="9"/>
        <v>2</v>
      </c>
      <c r="O17" s="17">
        <v>4</v>
      </c>
      <c r="P17" s="2">
        <f t="shared" si="10"/>
        <v>0</v>
      </c>
      <c r="Q17" s="13">
        <f t="shared" si="11"/>
        <v>2</v>
      </c>
      <c r="R17" s="17">
        <v>3</v>
      </c>
      <c r="S17" s="2">
        <f t="shared" si="12"/>
        <v>-1</v>
      </c>
      <c r="T17" s="13">
        <f t="shared" si="13"/>
        <v>1</v>
      </c>
      <c r="U17" s="17">
        <v>6</v>
      </c>
      <c r="V17" s="2">
        <f t="shared" si="14"/>
        <v>2</v>
      </c>
      <c r="W17" s="13">
        <f t="shared" si="15"/>
        <v>3</v>
      </c>
      <c r="X17" s="17">
        <v>3</v>
      </c>
      <c r="Y17" s="2">
        <f t="shared" si="16"/>
        <v>-1</v>
      </c>
      <c r="Z17" s="13">
        <f t="shared" si="17"/>
        <v>2</v>
      </c>
      <c r="AA17" s="8">
        <f>$C$30</f>
        <v>7</v>
      </c>
      <c r="AB17" s="2">
        <f t="shared" si="18"/>
        <v>3</v>
      </c>
      <c r="AC17" s="13">
        <f t="shared" si="19"/>
        <v>5</v>
      </c>
      <c r="AD17" s="17">
        <v>4</v>
      </c>
      <c r="AE17" s="2">
        <f t="shared" si="20"/>
        <v>0</v>
      </c>
      <c r="AF17" s="13">
        <f t="shared" si="21"/>
        <v>5</v>
      </c>
      <c r="AG17" s="14">
        <f>$C$29</f>
        <v>7</v>
      </c>
      <c r="AH17" s="2">
        <f t="shared" si="22"/>
        <v>3</v>
      </c>
      <c r="AI17" s="13">
        <f t="shared" si="23"/>
        <v>8</v>
      </c>
      <c r="AJ17" s="17">
        <v>3</v>
      </c>
      <c r="AK17" s="2">
        <f t="shared" si="24"/>
        <v>-1</v>
      </c>
      <c r="AL17" s="13">
        <f t="shared" si="25"/>
        <v>7</v>
      </c>
      <c r="AM17" s="17">
        <v>5</v>
      </c>
      <c r="AN17" s="2">
        <f t="shared" si="26"/>
        <v>1</v>
      </c>
      <c r="AO17" s="13">
        <f t="shared" si="27"/>
        <v>8</v>
      </c>
      <c r="AP17" s="8">
        <f>$C$30</f>
        <v>7</v>
      </c>
      <c r="AQ17" s="2">
        <f t="shared" si="28"/>
        <v>3</v>
      </c>
      <c r="AR17" s="13">
        <f t="shared" si="29"/>
        <v>11</v>
      </c>
      <c r="AS17" s="17">
        <v>4</v>
      </c>
      <c r="AT17" s="2">
        <f t="shared" si="30"/>
        <v>0</v>
      </c>
      <c r="AU17" s="13">
        <f t="shared" si="31"/>
        <v>11</v>
      </c>
      <c r="AV17" s="17">
        <v>5</v>
      </c>
      <c r="AW17" s="2">
        <f t="shared" si="32"/>
        <v>1</v>
      </c>
      <c r="AX17" s="13">
        <f t="shared" si="33"/>
        <v>12</v>
      </c>
      <c r="AY17" s="17">
        <v>4</v>
      </c>
      <c r="AZ17" s="2">
        <f t="shared" si="34"/>
        <v>0</v>
      </c>
      <c r="BA17" s="13">
        <f t="shared" si="40"/>
        <v>12</v>
      </c>
      <c r="BB17" s="17">
        <v>5</v>
      </c>
      <c r="BC17" s="2">
        <f t="shared" si="35"/>
        <v>1</v>
      </c>
      <c r="BD17" s="13">
        <f t="shared" si="36"/>
        <v>13</v>
      </c>
      <c r="BF17" t="str">
        <f t="shared" si="37"/>
        <v>Mark</v>
      </c>
      <c r="BG17" t="str">
        <f t="shared" si="38"/>
        <v>Wilson</v>
      </c>
      <c r="BI17" s="25" t="s">
        <v>42</v>
      </c>
      <c r="BJ17" t="s">
        <v>43</v>
      </c>
      <c r="BK17" s="13">
        <v>5</v>
      </c>
      <c r="BL17" s="1"/>
    </row>
    <row r="18" spans="1:64" x14ac:dyDescent="0.25">
      <c r="A18" t="s">
        <v>46</v>
      </c>
      <c r="B18" t="s">
        <v>47</v>
      </c>
      <c r="C18" s="16">
        <v>4</v>
      </c>
      <c r="D18" s="2">
        <f t="shared" si="39"/>
        <v>0</v>
      </c>
      <c r="E18" s="13">
        <f t="shared" si="3"/>
        <v>0</v>
      </c>
      <c r="F18" s="17">
        <v>3</v>
      </c>
      <c r="G18" s="2">
        <f t="shared" si="4"/>
        <v>-1</v>
      </c>
      <c r="H18" s="13">
        <f t="shared" si="5"/>
        <v>-1</v>
      </c>
      <c r="I18" s="17">
        <v>4</v>
      </c>
      <c r="J18" s="2">
        <f t="shared" si="6"/>
        <v>0</v>
      </c>
      <c r="K18" s="13">
        <f t="shared" si="7"/>
        <v>-1</v>
      </c>
      <c r="L18" s="17">
        <v>3</v>
      </c>
      <c r="M18" s="2">
        <f t="shared" si="8"/>
        <v>-1</v>
      </c>
      <c r="N18" s="13">
        <f t="shared" si="9"/>
        <v>-2</v>
      </c>
      <c r="O18" s="17">
        <v>3</v>
      </c>
      <c r="P18" s="2">
        <f t="shared" si="10"/>
        <v>-1</v>
      </c>
      <c r="Q18" s="13">
        <f t="shared" si="11"/>
        <v>-3</v>
      </c>
      <c r="R18" s="17">
        <v>5</v>
      </c>
      <c r="S18" s="2">
        <f t="shared" si="12"/>
        <v>1</v>
      </c>
      <c r="T18" s="13">
        <f t="shared" si="13"/>
        <v>-2</v>
      </c>
      <c r="U18" s="17">
        <v>5</v>
      </c>
      <c r="V18" s="2">
        <f t="shared" si="14"/>
        <v>1</v>
      </c>
      <c r="W18" s="13">
        <f t="shared" si="15"/>
        <v>-1</v>
      </c>
      <c r="X18" s="17">
        <v>4</v>
      </c>
      <c r="Y18" s="2">
        <f t="shared" si="16"/>
        <v>0</v>
      </c>
      <c r="Z18" s="13">
        <f t="shared" si="17"/>
        <v>-1</v>
      </c>
      <c r="AA18" s="17">
        <v>5</v>
      </c>
      <c r="AB18" s="2">
        <f t="shared" si="18"/>
        <v>1</v>
      </c>
      <c r="AC18" s="13">
        <f t="shared" si="19"/>
        <v>0</v>
      </c>
      <c r="AD18" s="17">
        <v>3</v>
      </c>
      <c r="AE18" s="2">
        <f t="shared" si="20"/>
        <v>-1</v>
      </c>
      <c r="AF18" s="13">
        <f t="shared" si="21"/>
        <v>-1</v>
      </c>
      <c r="AG18" s="17">
        <v>4</v>
      </c>
      <c r="AH18" s="2">
        <f t="shared" si="22"/>
        <v>0</v>
      </c>
      <c r="AI18" s="13">
        <f t="shared" si="23"/>
        <v>-1</v>
      </c>
      <c r="AJ18" s="17">
        <v>4</v>
      </c>
      <c r="AK18" s="2">
        <f t="shared" si="24"/>
        <v>0</v>
      </c>
      <c r="AL18" s="13">
        <f t="shared" si="25"/>
        <v>-1</v>
      </c>
      <c r="AM18" s="17">
        <v>4</v>
      </c>
      <c r="AN18" s="2">
        <f t="shared" si="26"/>
        <v>0</v>
      </c>
      <c r="AO18" s="13">
        <f t="shared" si="27"/>
        <v>-1</v>
      </c>
      <c r="AP18" s="17">
        <v>3</v>
      </c>
      <c r="AQ18" s="2">
        <f t="shared" si="28"/>
        <v>-1</v>
      </c>
      <c r="AR18" s="13">
        <f t="shared" si="29"/>
        <v>-2</v>
      </c>
      <c r="AS18" s="17">
        <v>4</v>
      </c>
      <c r="AT18" s="2">
        <f t="shared" si="30"/>
        <v>0</v>
      </c>
      <c r="AU18" s="13">
        <f t="shared" si="31"/>
        <v>-2</v>
      </c>
      <c r="AV18" s="17">
        <v>5</v>
      </c>
      <c r="AW18" s="2">
        <f t="shared" si="32"/>
        <v>1</v>
      </c>
      <c r="AX18" s="13">
        <f t="shared" si="33"/>
        <v>-1</v>
      </c>
      <c r="AY18" s="17">
        <v>4</v>
      </c>
      <c r="AZ18" s="2">
        <f t="shared" si="34"/>
        <v>0</v>
      </c>
      <c r="BA18" s="13">
        <f t="shared" si="40"/>
        <v>-1</v>
      </c>
      <c r="BB18" s="17">
        <v>5</v>
      </c>
      <c r="BC18" s="2">
        <f t="shared" si="35"/>
        <v>1</v>
      </c>
      <c r="BD18" s="13">
        <f t="shared" si="36"/>
        <v>0</v>
      </c>
      <c r="BF18" t="str">
        <f t="shared" si="37"/>
        <v>Mary</v>
      </c>
      <c r="BG18" t="str">
        <f t="shared" si="38"/>
        <v>Louise</v>
      </c>
      <c r="BI18" s="25" t="s">
        <v>50</v>
      </c>
      <c r="BJ18" t="s">
        <v>51</v>
      </c>
      <c r="BK18" s="13">
        <v>6</v>
      </c>
      <c r="BL18" s="1"/>
    </row>
    <row r="19" spans="1:64" x14ac:dyDescent="0.25">
      <c r="A19" t="s">
        <v>56</v>
      </c>
      <c r="B19" t="s">
        <v>57</v>
      </c>
      <c r="C19" s="27">
        <f>$C$31</f>
        <v>7</v>
      </c>
      <c r="D19" s="2">
        <f t="shared" si="39"/>
        <v>3</v>
      </c>
      <c r="E19" s="13">
        <f t="shared" si="3"/>
        <v>3</v>
      </c>
      <c r="F19" s="27">
        <f>$C$31</f>
        <v>7</v>
      </c>
      <c r="G19" s="2">
        <f t="shared" si="4"/>
        <v>3</v>
      </c>
      <c r="H19" s="13">
        <f t="shared" si="5"/>
        <v>6</v>
      </c>
      <c r="I19" s="27">
        <f>$C$31</f>
        <v>7</v>
      </c>
      <c r="J19" s="2">
        <f t="shared" si="6"/>
        <v>3</v>
      </c>
      <c r="K19" s="13">
        <f t="shared" si="7"/>
        <v>9</v>
      </c>
      <c r="L19" s="17">
        <v>5</v>
      </c>
      <c r="M19" s="2">
        <f t="shared" si="8"/>
        <v>1</v>
      </c>
      <c r="N19" s="13">
        <f t="shared" si="9"/>
        <v>10</v>
      </c>
      <c r="O19" s="17">
        <v>4</v>
      </c>
      <c r="P19" s="2">
        <f t="shared" si="10"/>
        <v>0</v>
      </c>
      <c r="Q19" s="13">
        <f t="shared" si="11"/>
        <v>10</v>
      </c>
      <c r="R19" s="17">
        <v>6</v>
      </c>
      <c r="S19" s="2">
        <f t="shared" si="12"/>
        <v>2</v>
      </c>
      <c r="T19" s="13">
        <f t="shared" si="13"/>
        <v>12</v>
      </c>
      <c r="U19" s="17">
        <v>3</v>
      </c>
      <c r="V19" s="2">
        <f t="shared" si="14"/>
        <v>-1</v>
      </c>
      <c r="W19" s="13">
        <f t="shared" si="15"/>
        <v>11</v>
      </c>
      <c r="X19" s="14">
        <f>$C$29</f>
        <v>7</v>
      </c>
      <c r="Y19" s="2">
        <f t="shared" si="16"/>
        <v>3</v>
      </c>
      <c r="Z19" s="13">
        <f t="shared" si="17"/>
        <v>14</v>
      </c>
      <c r="AA19" s="14">
        <f>$C$29</f>
        <v>7</v>
      </c>
      <c r="AB19" s="2">
        <f t="shared" si="18"/>
        <v>3</v>
      </c>
      <c r="AC19" s="13">
        <f t="shared" si="19"/>
        <v>17</v>
      </c>
      <c r="AD19" s="17">
        <v>5</v>
      </c>
      <c r="AE19" s="2">
        <f t="shared" si="20"/>
        <v>1</v>
      </c>
      <c r="AF19" s="13">
        <f t="shared" si="21"/>
        <v>18</v>
      </c>
      <c r="AG19" s="17">
        <v>5</v>
      </c>
      <c r="AH19" s="2">
        <f t="shared" si="22"/>
        <v>1</v>
      </c>
      <c r="AI19" s="13">
        <f t="shared" si="23"/>
        <v>19</v>
      </c>
      <c r="AJ19" s="17">
        <v>4</v>
      </c>
      <c r="AK19" s="2">
        <f t="shared" si="24"/>
        <v>0</v>
      </c>
      <c r="AL19" s="13">
        <f t="shared" si="25"/>
        <v>19</v>
      </c>
      <c r="AM19" s="17">
        <v>5</v>
      </c>
      <c r="AN19" s="2">
        <f t="shared" si="26"/>
        <v>1</v>
      </c>
      <c r="AO19" s="13">
        <f t="shared" si="27"/>
        <v>20</v>
      </c>
      <c r="AP19" s="14">
        <f>$C$29</f>
        <v>7</v>
      </c>
      <c r="AQ19" s="2">
        <f t="shared" si="28"/>
        <v>3</v>
      </c>
      <c r="AR19" s="13">
        <f t="shared" si="29"/>
        <v>23</v>
      </c>
      <c r="AS19" s="6">
        <f>$C$29</f>
        <v>7</v>
      </c>
      <c r="AT19" s="2">
        <f t="shared" si="30"/>
        <v>3</v>
      </c>
      <c r="AU19" s="13">
        <f t="shared" si="31"/>
        <v>26</v>
      </c>
      <c r="AV19" s="6">
        <f>$C$29</f>
        <v>7</v>
      </c>
      <c r="AW19" s="2">
        <f t="shared" si="32"/>
        <v>3</v>
      </c>
      <c r="AX19" s="13">
        <f t="shared" si="33"/>
        <v>29</v>
      </c>
      <c r="AY19" s="6">
        <f>$C$29</f>
        <v>7</v>
      </c>
      <c r="AZ19" s="2">
        <f t="shared" si="34"/>
        <v>3</v>
      </c>
      <c r="BA19" s="13">
        <f t="shared" si="40"/>
        <v>32</v>
      </c>
      <c r="BB19" s="6">
        <f>$C$29</f>
        <v>7</v>
      </c>
      <c r="BC19" s="2">
        <f t="shared" si="35"/>
        <v>3</v>
      </c>
      <c r="BD19" s="13">
        <f t="shared" si="36"/>
        <v>35</v>
      </c>
      <c r="BF19" t="str">
        <f t="shared" si="37"/>
        <v>Matt</v>
      </c>
      <c r="BG19" t="str">
        <f t="shared" si="38"/>
        <v>Bass</v>
      </c>
      <c r="BI19" s="25" t="s">
        <v>32</v>
      </c>
      <c r="BJ19" t="s">
        <v>33</v>
      </c>
      <c r="BK19" s="13">
        <v>7</v>
      </c>
      <c r="BL19" s="1"/>
    </row>
    <row r="20" spans="1:64" x14ac:dyDescent="0.25">
      <c r="A20" t="s">
        <v>54</v>
      </c>
      <c r="B20" t="s">
        <v>55</v>
      </c>
      <c r="C20" s="16">
        <v>4</v>
      </c>
      <c r="D20" s="2">
        <f t="shared" si="39"/>
        <v>0</v>
      </c>
      <c r="E20" s="13">
        <f t="shared" si="3"/>
        <v>0</v>
      </c>
      <c r="F20" s="17">
        <v>3</v>
      </c>
      <c r="G20" s="2">
        <f t="shared" si="4"/>
        <v>-1</v>
      </c>
      <c r="H20" s="13">
        <f t="shared" si="5"/>
        <v>-1</v>
      </c>
      <c r="I20" s="17">
        <v>4</v>
      </c>
      <c r="J20" s="2">
        <f t="shared" si="6"/>
        <v>0</v>
      </c>
      <c r="K20" s="13">
        <f t="shared" si="7"/>
        <v>-1</v>
      </c>
      <c r="L20" s="17">
        <v>4</v>
      </c>
      <c r="M20" s="2">
        <f t="shared" si="8"/>
        <v>0</v>
      </c>
      <c r="N20" s="13">
        <f t="shared" si="9"/>
        <v>-1</v>
      </c>
      <c r="O20" s="17">
        <v>5</v>
      </c>
      <c r="P20" s="2">
        <f t="shared" si="10"/>
        <v>1</v>
      </c>
      <c r="Q20" s="13">
        <f t="shared" si="11"/>
        <v>0</v>
      </c>
      <c r="R20" s="17">
        <v>4</v>
      </c>
      <c r="S20" s="2">
        <f t="shared" si="12"/>
        <v>0</v>
      </c>
      <c r="T20" s="13">
        <f t="shared" si="13"/>
        <v>0</v>
      </c>
      <c r="U20" s="17">
        <v>3</v>
      </c>
      <c r="V20" s="2">
        <f t="shared" si="14"/>
        <v>-1</v>
      </c>
      <c r="W20" s="13">
        <f t="shared" si="15"/>
        <v>-1</v>
      </c>
      <c r="X20" s="17">
        <v>4</v>
      </c>
      <c r="Y20" s="2">
        <f t="shared" si="16"/>
        <v>0</v>
      </c>
      <c r="Z20" s="13">
        <f t="shared" si="17"/>
        <v>-1</v>
      </c>
      <c r="AA20" s="8">
        <f>$C$30</f>
        <v>7</v>
      </c>
      <c r="AB20" s="2">
        <f t="shared" si="18"/>
        <v>3</v>
      </c>
      <c r="AC20" s="13">
        <f t="shared" si="19"/>
        <v>2</v>
      </c>
      <c r="AD20" s="17">
        <v>3</v>
      </c>
      <c r="AE20" s="2">
        <f t="shared" si="20"/>
        <v>-1</v>
      </c>
      <c r="AF20" s="13">
        <f t="shared" si="21"/>
        <v>1</v>
      </c>
      <c r="AG20" s="17">
        <v>4</v>
      </c>
      <c r="AH20" s="2">
        <f t="shared" si="22"/>
        <v>0</v>
      </c>
      <c r="AI20" s="13">
        <f t="shared" si="23"/>
        <v>1</v>
      </c>
      <c r="AJ20" s="17">
        <v>4</v>
      </c>
      <c r="AK20" s="2">
        <f t="shared" si="24"/>
        <v>0</v>
      </c>
      <c r="AL20" s="13">
        <f t="shared" si="25"/>
        <v>1</v>
      </c>
      <c r="AM20" s="17">
        <v>4</v>
      </c>
      <c r="AN20" s="2">
        <f t="shared" si="26"/>
        <v>0</v>
      </c>
      <c r="AO20" s="13">
        <f t="shared" si="27"/>
        <v>1</v>
      </c>
      <c r="AP20" s="17">
        <v>5</v>
      </c>
      <c r="AQ20" s="2">
        <f t="shared" si="28"/>
        <v>1</v>
      </c>
      <c r="AR20" s="13">
        <f t="shared" si="29"/>
        <v>2</v>
      </c>
      <c r="AS20" s="17">
        <v>4</v>
      </c>
      <c r="AT20" s="2">
        <f t="shared" si="30"/>
        <v>0</v>
      </c>
      <c r="AU20" s="13">
        <f t="shared" si="31"/>
        <v>2</v>
      </c>
      <c r="AV20" s="17">
        <v>5</v>
      </c>
      <c r="AW20" s="2">
        <f t="shared" si="32"/>
        <v>1</v>
      </c>
      <c r="AX20" s="13">
        <f t="shared" si="33"/>
        <v>3</v>
      </c>
      <c r="AY20" s="17">
        <v>3</v>
      </c>
      <c r="AZ20" s="2">
        <f t="shared" si="34"/>
        <v>-1</v>
      </c>
      <c r="BA20" s="13">
        <f t="shared" si="40"/>
        <v>2</v>
      </c>
      <c r="BB20" s="17">
        <v>4</v>
      </c>
      <c r="BC20" s="2">
        <f t="shared" si="35"/>
        <v>0</v>
      </c>
      <c r="BD20" s="13">
        <f t="shared" si="36"/>
        <v>2</v>
      </c>
      <c r="BF20" t="str">
        <f t="shared" si="37"/>
        <v>Philip</v>
      </c>
      <c r="BG20" t="str">
        <f t="shared" si="38"/>
        <v>Bradbury</v>
      </c>
      <c r="BI20" s="25" t="s">
        <v>17</v>
      </c>
      <c r="BJ20" t="s">
        <v>18</v>
      </c>
      <c r="BK20" s="13">
        <v>10</v>
      </c>
      <c r="BL20" s="1"/>
    </row>
    <row r="21" spans="1:64" x14ac:dyDescent="0.25">
      <c r="A21" t="s">
        <v>38</v>
      </c>
      <c r="B21" t="s">
        <v>10</v>
      </c>
      <c r="C21" s="16">
        <v>3</v>
      </c>
      <c r="D21" s="2">
        <f t="shared" si="39"/>
        <v>-1</v>
      </c>
      <c r="E21" s="13">
        <f t="shared" si="3"/>
        <v>-1</v>
      </c>
      <c r="F21" s="17">
        <v>4</v>
      </c>
      <c r="G21" s="2">
        <f t="shared" si="4"/>
        <v>0</v>
      </c>
      <c r="H21" s="13">
        <f t="shared" si="5"/>
        <v>-1</v>
      </c>
      <c r="I21" s="17">
        <v>5</v>
      </c>
      <c r="J21" s="2">
        <f t="shared" si="6"/>
        <v>1</v>
      </c>
      <c r="K21" s="13">
        <f t="shared" si="7"/>
        <v>0</v>
      </c>
      <c r="L21" s="17">
        <v>4</v>
      </c>
      <c r="M21" s="2">
        <f t="shared" si="8"/>
        <v>0</v>
      </c>
      <c r="N21" s="13">
        <f t="shared" si="9"/>
        <v>0</v>
      </c>
      <c r="O21" s="17">
        <v>3</v>
      </c>
      <c r="P21" s="2">
        <f t="shared" si="10"/>
        <v>-1</v>
      </c>
      <c r="Q21" s="13">
        <f t="shared" si="11"/>
        <v>-1</v>
      </c>
      <c r="R21" s="17">
        <v>4</v>
      </c>
      <c r="S21" s="2">
        <f t="shared" si="12"/>
        <v>0</v>
      </c>
      <c r="T21" s="13">
        <f t="shared" si="13"/>
        <v>-1</v>
      </c>
      <c r="U21" s="14">
        <f>$C$29</f>
        <v>7</v>
      </c>
      <c r="V21" s="2">
        <f t="shared" si="14"/>
        <v>3</v>
      </c>
      <c r="W21" s="13">
        <f t="shared" si="15"/>
        <v>2</v>
      </c>
      <c r="X21" s="17">
        <v>4</v>
      </c>
      <c r="Y21" s="2">
        <f t="shared" si="16"/>
        <v>0</v>
      </c>
      <c r="Z21" s="13">
        <f t="shared" si="17"/>
        <v>2</v>
      </c>
      <c r="AA21" s="14">
        <f>$C$29</f>
        <v>7</v>
      </c>
      <c r="AB21" s="2">
        <f t="shared" si="18"/>
        <v>3</v>
      </c>
      <c r="AC21" s="13">
        <f t="shared" si="19"/>
        <v>5</v>
      </c>
      <c r="AD21" s="17">
        <v>3</v>
      </c>
      <c r="AE21" s="2">
        <f t="shared" si="20"/>
        <v>-1</v>
      </c>
      <c r="AF21" s="13">
        <f t="shared" si="21"/>
        <v>4</v>
      </c>
      <c r="AG21" s="17">
        <v>4</v>
      </c>
      <c r="AH21" s="2">
        <f t="shared" si="22"/>
        <v>0</v>
      </c>
      <c r="AI21" s="13">
        <f t="shared" si="23"/>
        <v>4</v>
      </c>
      <c r="AJ21" s="17">
        <v>6</v>
      </c>
      <c r="AK21" s="2">
        <f t="shared" si="24"/>
        <v>2</v>
      </c>
      <c r="AL21" s="13">
        <f t="shared" si="25"/>
        <v>6</v>
      </c>
      <c r="AM21" s="14">
        <f>$C$29</f>
        <v>7</v>
      </c>
      <c r="AN21" s="2">
        <f t="shared" si="26"/>
        <v>3</v>
      </c>
      <c r="AO21" s="13">
        <f t="shared" si="27"/>
        <v>9</v>
      </c>
      <c r="AP21" s="17">
        <v>4</v>
      </c>
      <c r="AQ21" s="2">
        <f t="shared" si="28"/>
        <v>0</v>
      </c>
      <c r="AR21" s="13">
        <f t="shared" si="29"/>
        <v>9</v>
      </c>
      <c r="AS21" s="17">
        <v>3</v>
      </c>
      <c r="AT21" s="2">
        <f t="shared" si="30"/>
        <v>-1</v>
      </c>
      <c r="AU21" s="13">
        <f t="shared" si="31"/>
        <v>8</v>
      </c>
      <c r="AV21" s="6">
        <f>$C$29</f>
        <v>7</v>
      </c>
      <c r="AW21" s="2">
        <f t="shared" si="32"/>
        <v>3</v>
      </c>
      <c r="AX21" s="13">
        <f t="shared" si="33"/>
        <v>11</v>
      </c>
      <c r="AY21" s="6">
        <f>$C$29</f>
        <v>7</v>
      </c>
      <c r="AZ21" s="2">
        <f t="shared" si="34"/>
        <v>3</v>
      </c>
      <c r="BA21" s="13">
        <f t="shared" si="40"/>
        <v>14</v>
      </c>
      <c r="BB21" s="6">
        <f>$C$29</f>
        <v>7</v>
      </c>
      <c r="BC21" s="2">
        <f t="shared" si="35"/>
        <v>3</v>
      </c>
      <c r="BD21" s="13">
        <f t="shared" si="36"/>
        <v>17</v>
      </c>
      <c r="BF21" t="str">
        <f t="shared" si="37"/>
        <v>Rachel</v>
      </c>
      <c r="BG21" t="str">
        <f t="shared" si="38"/>
        <v>Bentley</v>
      </c>
      <c r="BI21" s="25" t="s">
        <v>19</v>
      </c>
      <c r="BJ21" t="s">
        <v>20</v>
      </c>
      <c r="BK21" s="13">
        <v>12</v>
      </c>
      <c r="BL21" s="1"/>
    </row>
    <row r="22" spans="1:64" x14ac:dyDescent="0.25">
      <c r="A22" t="s">
        <v>21</v>
      </c>
      <c r="B22" t="s">
        <v>22</v>
      </c>
      <c r="C22" s="16">
        <v>6</v>
      </c>
      <c r="D22" s="2">
        <f t="shared" si="39"/>
        <v>2</v>
      </c>
      <c r="E22" s="13">
        <f t="shared" si="3"/>
        <v>2</v>
      </c>
      <c r="F22" s="17">
        <v>6</v>
      </c>
      <c r="G22" s="2">
        <f t="shared" si="4"/>
        <v>2</v>
      </c>
      <c r="H22" s="13">
        <f t="shared" si="5"/>
        <v>4</v>
      </c>
      <c r="I22" s="17">
        <v>6</v>
      </c>
      <c r="J22" s="2">
        <f t="shared" si="6"/>
        <v>2</v>
      </c>
      <c r="K22" s="13">
        <f t="shared" si="7"/>
        <v>6</v>
      </c>
      <c r="L22" s="17">
        <v>6</v>
      </c>
      <c r="M22" s="2">
        <f t="shared" si="8"/>
        <v>2</v>
      </c>
      <c r="N22" s="13">
        <f t="shared" si="9"/>
        <v>8</v>
      </c>
      <c r="O22" s="17">
        <v>4</v>
      </c>
      <c r="P22" s="2">
        <f t="shared" si="10"/>
        <v>0</v>
      </c>
      <c r="Q22" s="13">
        <f t="shared" si="11"/>
        <v>8</v>
      </c>
      <c r="R22" s="17">
        <v>4</v>
      </c>
      <c r="S22" s="2">
        <f t="shared" si="12"/>
        <v>0</v>
      </c>
      <c r="T22" s="13">
        <f t="shared" si="13"/>
        <v>8</v>
      </c>
      <c r="U22" s="17">
        <v>5</v>
      </c>
      <c r="V22" s="2">
        <f t="shared" si="14"/>
        <v>1</v>
      </c>
      <c r="W22" s="13">
        <f t="shared" si="15"/>
        <v>9</v>
      </c>
      <c r="X22" s="17">
        <v>4</v>
      </c>
      <c r="Y22" s="2">
        <f t="shared" si="16"/>
        <v>0</v>
      </c>
      <c r="Z22" s="13">
        <f t="shared" si="17"/>
        <v>9</v>
      </c>
      <c r="AA22" s="17">
        <v>6</v>
      </c>
      <c r="AB22" s="2">
        <f t="shared" si="18"/>
        <v>2</v>
      </c>
      <c r="AC22" s="13">
        <f t="shared" si="19"/>
        <v>11</v>
      </c>
      <c r="AD22" s="17">
        <v>4</v>
      </c>
      <c r="AE22" s="2">
        <f t="shared" si="20"/>
        <v>0</v>
      </c>
      <c r="AF22" s="13">
        <f t="shared" si="21"/>
        <v>11</v>
      </c>
      <c r="AG22" s="17">
        <v>4</v>
      </c>
      <c r="AH22" s="2">
        <f t="shared" si="22"/>
        <v>0</v>
      </c>
      <c r="AI22" s="13">
        <f t="shared" si="23"/>
        <v>11</v>
      </c>
      <c r="AJ22" s="17">
        <v>4</v>
      </c>
      <c r="AK22" s="2">
        <f t="shared" si="24"/>
        <v>0</v>
      </c>
      <c r="AL22" s="13">
        <f t="shared" si="25"/>
        <v>11</v>
      </c>
      <c r="AM22" s="8">
        <f>$C$30</f>
        <v>7</v>
      </c>
      <c r="AN22" s="2">
        <f t="shared" si="26"/>
        <v>3</v>
      </c>
      <c r="AO22" s="13">
        <f t="shared" si="27"/>
        <v>14</v>
      </c>
      <c r="AP22" s="17">
        <v>3</v>
      </c>
      <c r="AQ22" s="2">
        <f t="shared" si="28"/>
        <v>-1</v>
      </c>
      <c r="AR22" s="13">
        <f t="shared" si="29"/>
        <v>13</v>
      </c>
      <c r="AS22" s="17">
        <v>5</v>
      </c>
      <c r="AT22" s="2">
        <f t="shared" si="30"/>
        <v>1</v>
      </c>
      <c r="AU22" s="13">
        <f t="shared" si="31"/>
        <v>14</v>
      </c>
      <c r="AV22" s="17">
        <v>5</v>
      </c>
      <c r="AW22" s="2">
        <f t="shared" si="32"/>
        <v>1</v>
      </c>
      <c r="AX22" s="13">
        <f t="shared" si="33"/>
        <v>15</v>
      </c>
      <c r="AY22" s="17">
        <v>5</v>
      </c>
      <c r="AZ22" s="2">
        <f t="shared" si="34"/>
        <v>1</v>
      </c>
      <c r="BA22" s="13">
        <f t="shared" si="40"/>
        <v>16</v>
      </c>
      <c r="BB22" s="17">
        <v>6</v>
      </c>
      <c r="BC22" s="2">
        <f t="shared" si="35"/>
        <v>2</v>
      </c>
      <c r="BD22" s="13">
        <f t="shared" si="36"/>
        <v>18</v>
      </c>
      <c r="BF22" t="str">
        <f t="shared" si="37"/>
        <v>Sue</v>
      </c>
      <c r="BG22" t="str">
        <f t="shared" si="38"/>
        <v>Marchant</v>
      </c>
      <c r="BI22" s="25" t="s">
        <v>38</v>
      </c>
      <c r="BJ22" t="s">
        <v>10</v>
      </c>
      <c r="BK22" s="13">
        <v>14</v>
      </c>
      <c r="BL22" s="1"/>
    </row>
    <row r="23" spans="1:64" x14ac:dyDescent="0.25">
      <c r="A23" t="s">
        <v>21</v>
      </c>
      <c r="B23" t="s">
        <v>31</v>
      </c>
      <c r="C23" s="16">
        <v>2</v>
      </c>
      <c r="D23" s="2">
        <f t="shared" si="39"/>
        <v>-2</v>
      </c>
      <c r="E23" s="13">
        <f t="shared" si="3"/>
        <v>-2</v>
      </c>
      <c r="F23" s="17">
        <v>3</v>
      </c>
      <c r="G23" s="2">
        <f t="shared" si="4"/>
        <v>-1</v>
      </c>
      <c r="H23" s="13">
        <f t="shared" si="5"/>
        <v>-3</v>
      </c>
      <c r="I23" s="17">
        <v>3</v>
      </c>
      <c r="J23" s="2">
        <f t="shared" si="6"/>
        <v>-1</v>
      </c>
      <c r="K23" s="13">
        <f t="shared" si="7"/>
        <v>-4</v>
      </c>
      <c r="L23" s="17">
        <v>3</v>
      </c>
      <c r="M23" s="2">
        <f t="shared" si="8"/>
        <v>-1</v>
      </c>
      <c r="N23" s="13">
        <f t="shared" si="9"/>
        <v>-5</v>
      </c>
      <c r="O23" s="17">
        <v>2</v>
      </c>
      <c r="P23" s="2">
        <f t="shared" si="10"/>
        <v>-2</v>
      </c>
      <c r="Q23" s="13">
        <f t="shared" si="11"/>
        <v>-7</v>
      </c>
      <c r="R23" s="17">
        <v>5</v>
      </c>
      <c r="S23" s="2">
        <f t="shared" si="12"/>
        <v>1</v>
      </c>
      <c r="T23" s="13">
        <f t="shared" si="13"/>
        <v>-6</v>
      </c>
      <c r="U23" s="17">
        <v>3</v>
      </c>
      <c r="V23" s="2">
        <f t="shared" si="14"/>
        <v>-1</v>
      </c>
      <c r="W23" s="13">
        <f t="shared" si="15"/>
        <v>-7</v>
      </c>
      <c r="X23" s="17">
        <v>3</v>
      </c>
      <c r="Y23" s="2">
        <f t="shared" si="16"/>
        <v>-1</v>
      </c>
      <c r="Z23" s="13">
        <f t="shared" si="17"/>
        <v>-8</v>
      </c>
      <c r="AA23" s="17">
        <v>4</v>
      </c>
      <c r="AB23" s="2">
        <f t="shared" si="18"/>
        <v>0</v>
      </c>
      <c r="AC23" s="13">
        <f t="shared" si="19"/>
        <v>-8</v>
      </c>
      <c r="AD23" s="17">
        <v>3</v>
      </c>
      <c r="AE23" s="2">
        <f t="shared" si="20"/>
        <v>-1</v>
      </c>
      <c r="AF23" s="13">
        <f t="shared" si="21"/>
        <v>-9</v>
      </c>
      <c r="AG23" s="17">
        <v>3</v>
      </c>
      <c r="AH23" s="2">
        <f t="shared" si="22"/>
        <v>-1</v>
      </c>
      <c r="AI23" s="13">
        <f t="shared" si="23"/>
        <v>-10</v>
      </c>
      <c r="AJ23" s="17">
        <v>3</v>
      </c>
      <c r="AK23" s="2">
        <f t="shared" si="24"/>
        <v>-1</v>
      </c>
      <c r="AL23" s="13">
        <f t="shared" si="25"/>
        <v>-11</v>
      </c>
      <c r="AM23" s="17">
        <v>4</v>
      </c>
      <c r="AN23" s="2">
        <f t="shared" si="26"/>
        <v>0</v>
      </c>
      <c r="AO23" s="13">
        <f t="shared" si="27"/>
        <v>-11</v>
      </c>
      <c r="AP23" s="17">
        <v>3</v>
      </c>
      <c r="AQ23" s="2">
        <f t="shared" si="28"/>
        <v>-1</v>
      </c>
      <c r="AR23" s="13">
        <f t="shared" si="29"/>
        <v>-12</v>
      </c>
      <c r="AS23" s="17">
        <v>3</v>
      </c>
      <c r="AT23" s="2">
        <f t="shared" si="30"/>
        <v>-1</v>
      </c>
      <c r="AU23" s="13">
        <f t="shared" si="31"/>
        <v>-13</v>
      </c>
      <c r="AV23" s="17">
        <v>2</v>
      </c>
      <c r="AW23" s="2">
        <f t="shared" si="32"/>
        <v>-2</v>
      </c>
      <c r="AX23" s="13">
        <f t="shared" si="33"/>
        <v>-15</v>
      </c>
      <c r="AY23" s="17">
        <v>3</v>
      </c>
      <c r="AZ23" s="2">
        <f t="shared" si="34"/>
        <v>-1</v>
      </c>
      <c r="BA23" s="13">
        <f t="shared" si="40"/>
        <v>-16</v>
      </c>
      <c r="BB23" s="17">
        <v>4</v>
      </c>
      <c r="BC23" s="2">
        <f t="shared" si="35"/>
        <v>0</v>
      </c>
      <c r="BD23" s="13">
        <f t="shared" si="36"/>
        <v>-16</v>
      </c>
      <c r="BF23" t="str">
        <f t="shared" si="37"/>
        <v>Sue</v>
      </c>
      <c r="BG23" t="str">
        <f t="shared" si="38"/>
        <v>Merrill</v>
      </c>
      <c r="BI23" s="25" t="s">
        <v>21</v>
      </c>
      <c r="BJ23" t="s">
        <v>22</v>
      </c>
      <c r="BK23" s="13">
        <v>16</v>
      </c>
      <c r="BL23" s="1"/>
    </row>
    <row r="24" spans="1:64" x14ac:dyDescent="0.25">
      <c r="A24" t="s">
        <v>23</v>
      </c>
      <c r="B24" t="s">
        <v>24</v>
      </c>
      <c r="C24" s="16">
        <v>4</v>
      </c>
      <c r="D24" s="2">
        <f t="shared" si="39"/>
        <v>0</v>
      </c>
      <c r="E24" s="13">
        <f t="shared" si="3"/>
        <v>0</v>
      </c>
      <c r="F24" s="17">
        <v>4</v>
      </c>
      <c r="G24" s="2">
        <f t="shared" si="4"/>
        <v>0</v>
      </c>
      <c r="H24" s="13">
        <f t="shared" si="5"/>
        <v>0</v>
      </c>
      <c r="I24" s="17">
        <v>3</v>
      </c>
      <c r="J24" s="2">
        <f t="shared" si="6"/>
        <v>-1</v>
      </c>
      <c r="K24" s="13">
        <f t="shared" si="7"/>
        <v>-1</v>
      </c>
      <c r="L24" s="17">
        <v>4</v>
      </c>
      <c r="M24" s="2">
        <f t="shared" si="8"/>
        <v>0</v>
      </c>
      <c r="N24" s="13">
        <f t="shared" si="9"/>
        <v>-1</v>
      </c>
      <c r="O24" s="17">
        <v>4</v>
      </c>
      <c r="P24" s="2">
        <f t="shared" si="10"/>
        <v>0</v>
      </c>
      <c r="Q24" s="13">
        <f t="shared" si="11"/>
        <v>-1</v>
      </c>
      <c r="R24" s="17">
        <v>2</v>
      </c>
      <c r="S24" s="2">
        <f t="shared" si="12"/>
        <v>-2</v>
      </c>
      <c r="T24" s="13">
        <f t="shared" si="13"/>
        <v>-3</v>
      </c>
      <c r="U24" s="17">
        <v>4</v>
      </c>
      <c r="V24" s="2">
        <f t="shared" si="14"/>
        <v>0</v>
      </c>
      <c r="W24" s="13">
        <f t="shared" si="15"/>
        <v>-3</v>
      </c>
      <c r="X24" s="17">
        <v>4</v>
      </c>
      <c r="Y24" s="2">
        <f t="shared" si="16"/>
        <v>0</v>
      </c>
      <c r="Z24" s="13">
        <f t="shared" si="17"/>
        <v>-3</v>
      </c>
      <c r="AA24" s="17">
        <v>6</v>
      </c>
      <c r="AB24" s="2">
        <f t="shared" si="18"/>
        <v>2</v>
      </c>
      <c r="AC24" s="13">
        <f t="shared" si="19"/>
        <v>-1</v>
      </c>
      <c r="AD24" s="17">
        <v>3</v>
      </c>
      <c r="AE24" s="2">
        <f t="shared" si="20"/>
        <v>-1</v>
      </c>
      <c r="AF24" s="13">
        <f t="shared" si="21"/>
        <v>-2</v>
      </c>
      <c r="AG24" s="17">
        <v>4</v>
      </c>
      <c r="AH24" s="2">
        <f t="shared" si="22"/>
        <v>0</v>
      </c>
      <c r="AI24" s="13">
        <f t="shared" si="23"/>
        <v>-2</v>
      </c>
      <c r="AJ24" s="17">
        <v>5</v>
      </c>
      <c r="AK24" s="2">
        <f t="shared" si="24"/>
        <v>1</v>
      </c>
      <c r="AL24" s="13">
        <f t="shared" si="25"/>
        <v>-1</v>
      </c>
      <c r="AM24" s="17">
        <v>4</v>
      </c>
      <c r="AN24" s="2">
        <f t="shared" si="26"/>
        <v>0</v>
      </c>
      <c r="AO24" s="13">
        <f t="shared" si="27"/>
        <v>-1</v>
      </c>
      <c r="AP24" s="17">
        <v>3</v>
      </c>
      <c r="AQ24" s="2">
        <f t="shared" si="28"/>
        <v>-1</v>
      </c>
      <c r="AR24" s="13">
        <f t="shared" si="29"/>
        <v>-2</v>
      </c>
      <c r="AS24" s="17">
        <v>4</v>
      </c>
      <c r="AT24" s="2">
        <f t="shared" si="30"/>
        <v>0</v>
      </c>
      <c r="AU24" s="13">
        <f t="shared" si="31"/>
        <v>-2</v>
      </c>
      <c r="AV24" s="17">
        <v>4</v>
      </c>
      <c r="AW24" s="2">
        <f t="shared" si="32"/>
        <v>0</v>
      </c>
      <c r="AX24" s="13">
        <f t="shared" si="33"/>
        <v>-2</v>
      </c>
      <c r="AY24" s="17">
        <v>4</v>
      </c>
      <c r="AZ24" s="2">
        <f t="shared" si="34"/>
        <v>0</v>
      </c>
      <c r="BA24" s="13">
        <f t="shared" si="40"/>
        <v>-2</v>
      </c>
      <c r="BB24" s="17">
        <v>3</v>
      </c>
      <c r="BC24" s="2">
        <f t="shared" si="35"/>
        <v>-1</v>
      </c>
      <c r="BD24" s="13">
        <f t="shared" si="36"/>
        <v>-3</v>
      </c>
      <c r="BF24" t="str">
        <f t="shared" si="37"/>
        <v>Tanya</v>
      </c>
      <c r="BG24" t="str">
        <f t="shared" si="38"/>
        <v>Moger</v>
      </c>
      <c r="BI24" s="25" t="s">
        <v>56</v>
      </c>
      <c r="BJ24" t="s">
        <v>57</v>
      </c>
      <c r="BK24" s="13">
        <v>32</v>
      </c>
      <c r="BL24" s="1"/>
    </row>
    <row r="25" spans="1:64" x14ac:dyDescent="0.25">
      <c r="A25" t="s">
        <v>48</v>
      </c>
      <c r="B25" t="s">
        <v>49</v>
      </c>
      <c r="C25" s="16">
        <v>4</v>
      </c>
      <c r="D25" s="2">
        <f t="shared" si="39"/>
        <v>0</v>
      </c>
      <c r="E25" s="13">
        <f t="shared" si="3"/>
        <v>0</v>
      </c>
      <c r="F25" s="17">
        <v>4</v>
      </c>
      <c r="G25" s="2">
        <f t="shared" si="4"/>
        <v>0</v>
      </c>
      <c r="H25" s="13">
        <f t="shared" si="5"/>
        <v>0</v>
      </c>
      <c r="I25" s="17">
        <v>4</v>
      </c>
      <c r="J25" s="2">
        <f t="shared" si="6"/>
        <v>0</v>
      </c>
      <c r="K25" s="13">
        <f t="shared" si="7"/>
        <v>0</v>
      </c>
      <c r="L25" s="17">
        <v>3</v>
      </c>
      <c r="M25" s="2">
        <f t="shared" si="8"/>
        <v>-1</v>
      </c>
      <c r="N25" s="13">
        <f t="shared" si="9"/>
        <v>-1</v>
      </c>
      <c r="O25" s="17">
        <v>3</v>
      </c>
      <c r="P25" s="2">
        <f t="shared" si="10"/>
        <v>-1</v>
      </c>
      <c r="Q25" s="13">
        <f t="shared" si="11"/>
        <v>-2</v>
      </c>
      <c r="R25" s="17">
        <v>5</v>
      </c>
      <c r="S25" s="2">
        <f t="shared" si="12"/>
        <v>1</v>
      </c>
      <c r="T25" s="13">
        <f t="shared" si="13"/>
        <v>-1</v>
      </c>
      <c r="U25" s="17">
        <v>4</v>
      </c>
      <c r="V25" s="2">
        <f t="shared" si="14"/>
        <v>0</v>
      </c>
      <c r="W25" s="13">
        <f t="shared" si="15"/>
        <v>-1</v>
      </c>
      <c r="X25" s="17">
        <v>3</v>
      </c>
      <c r="Y25" s="2">
        <f t="shared" si="16"/>
        <v>-1</v>
      </c>
      <c r="Z25" s="13">
        <f t="shared" si="17"/>
        <v>-2</v>
      </c>
      <c r="AA25" s="17">
        <v>5</v>
      </c>
      <c r="AB25" s="2">
        <f t="shared" si="18"/>
        <v>1</v>
      </c>
      <c r="AC25" s="13">
        <f t="shared" si="19"/>
        <v>-1</v>
      </c>
      <c r="AD25" s="17">
        <v>3</v>
      </c>
      <c r="AE25" s="2">
        <f t="shared" si="20"/>
        <v>-1</v>
      </c>
      <c r="AF25" s="13">
        <f t="shared" si="21"/>
        <v>-2</v>
      </c>
      <c r="AG25" s="17">
        <v>4</v>
      </c>
      <c r="AH25" s="2">
        <f t="shared" si="22"/>
        <v>0</v>
      </c>
      <c r="AI25" s="13">
        <f t="shared" si="23"/>
        <v>-2</v>
      </c>
      <c r="AJ25" s="17">
        <v>4</v>
      </c>
      <c r="AK25" s="2">
        <f t="shared" si="24"/>
        <v>0</v>
      </c>
      <c r="AL25" s="13">
        <f t="shared" si="25"/>
        <v>-2</v>
      </c>
      <c r="AM25" s="17">
        <v>3</v>
      </c>
      <c r="AN25" s="2">
        <f t="shared" si="26"/>
        <v>-1</v>
      </c>
      <c r="AO25" s="13">
        <f t="shared" si="27"/>
        <v>-3</v>
      </c>
      <c r="AP25" s="17">
        <v>3</v>
      </c>
      <c r="AQ25" s="2">
        <f t="shared" si="28"/>
        <v>-1</v>
      </c>
      <c r="AR25" s="13">
        <f t="shared" si="29"/>
        <v>-4</v>
      </c>
      <c r="AS25" s="17">
        <v>3</v>
      </c>
      <c r="AT25" s="2">
        <f t="shared" si="30"/>
        <v>-1</v>
      </c>
      <c r="AU25" s="13">
        <f t="shared" si="31"/>
        <v>-5</v>
      </c>
      <c r="AV25" s="17">
        <v>3</v>
      </c>
      <c r="AW25" s="2">
        <f t="shared" si="32"/>
        <v>-1</v>
      </c>
      <c r="AX25" s="13">
        <f t="shared" si="33"/>
        <v>-6</v>
      </c>
      <c r="AY25" s="17">
        <v>3</v>
      </c>
      <c r="AZ25" s="2">
        <f t="shared" si="34"/>
        <v>-1</v>
      </c>
      <c r="BA25" s="13">
        <f t="shared" si="40"/>
        <v>-7</v>
      </c>
      <c r="BB25" s="17">
        <v>5</v>
      </c>
      <c r="BC25" s="2">
        <f t="shared" si="35"/>
        <v>1</v>
      </c>
      <c r="BD25" s="13">
        <f t="shared" si="36"/>
        <v>-6</v>
      </c>
      <c r="BF25" t="str">
        <f t="shared" si="37"/>
        <v>Wayne</v>
      </c>
      <c r="BG25" t="str">
        <f t="shared" si="38"/>
        <v>Mendes</v>
      </c>
      <c r="BI25" s="26" t="s">
        <v>29</v>
      </c>
      <c r="BJ25" s="11" t="s">
        <v>30</v>
      </c>
      <c r="BK25" s="15">
        <v>33</v>
      </c>
      <c r="BL25" s="1"/>
    </row>
    <row r="26" spans="1:64" x14ac:dyDescent="0.25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spans="1:64" x14ac:dyDescent="0.25">
      <c r="B27" t="s">
        <v>25</v>
      </c>
      <c r="C27" s="18">
        <f>IF(COUNT(C20:C25)&gt;0,AVERAGE(C4:C25),"")</f>
        <v>4.0454545454545459</v>
      </c>
      <c r="D27" s="3"/>
      <c r="E27" s="3"/>
      <c r="F27" s="18">
        <f>IF(COUNT(F20:F25)&gt;0,AVERAGE(F4:F25),"")</f>
        <v>4.3636363636363633</v>
      </c>
      <c r="G27" s="3"/>
      <c r="H27" s="3"/>
      <c r="I27" s="18">
        <f>IF(COUNT(I20:I25)&gt;0,AVERAGE(I4:I25),"")</f>
        <v>4.5</v>
      </c>
      <c r="J27" s="3"/>
      <c r="K27" s="3"/>
      <c r="L27" s="18">
        <f>IF(COUNT(L20:L25)&gt;0,AVERAGE(L4:L25),"")</f>
        <v>3.7727272727272729</v>
      </c>
      <c r="M27" s="3"/>
      <c r="N27" s="3"/>
      <c r="O27" s="18">
        <f>IF(COUNT(O20:O25)&gt;0,AVERAGE(O4:O25),"")</f>
        <v>3.8181818181818183</v>
      </c>
      <c r="P27" s="3"/>
      <c r="Q27" s="3"/>
      <c r="R27" s="18">
        <f>IF(COUNT(R20:R25)&gt;0,AVERAGE(R4:R25),"")</f>
        <v>4.4545454545454541</v>
      </c>
      <c r="S27" s="3"/>
      <c r="T27" s="3"/>
      <c r="U27" s="18">
        <f>IF(COUNT(U20:U25)&gt;0,AVERAGE(U4:U25),"")</f>
        <v>4.2727272727272725</v>
      </c>
      <c r="V27" s="3"/>
      <c r="W27" s="3"/>
      <c r="X27" s="18">
        <f>IF(COUNT(X20:X25)&gt;0,AVERAGE(X4:X25),"")</f>
        <v>3.9090909090909092</v>
      </c>
      <c r="Y27" s="3"/>
      <c r="Z27" s="3"/>
      <c r="AA27" s="18">
        <f>IF(COUNT(AA20:AA25)&gt;0,AVERAGE(AA4:AA25),"")</f>
        <v>5.2727272727272725</v>
      </c>
      <c r="AB27" s="3"/>
      <c r="AC27" s="3"/>
      <c r="AD27" s="18">
        <f>IF(COUNT(AD20:AD25)&gt;0,AVERAGE(AD4:AD25),"")</f>
        <v>4.0909090909090908</v>
      </c>
      <c r="AE27" s="3"/>
      <c r="AF27" s="3"/>
      <c r="AG27" s="18">
        <f>IF(COUNT(AG20:AG25)&gt;0,AVERAGE(AG4:AG25),"")</f>
        <v>4.4090909090909092</v>
      </c>
      <c r="AH27" s="3"/>
      <c r="AI27" s="3"/>
      <c r="AJ27" s="18">
        <f>IF(COUNT(AJ20:AJ25)&gt;0,AVERAGE(AJ4:AJ25),"")</f>
        <v>4.6363636363636367</v>
      </c>
      <c r="AK27" s="3"/>
      <c r="AL27" s="3"/>
      <c r="AM27" s="18">
        <f>IF(COUNT(AM20:AM25)&gt;0,AVERAGE(AM4:AM25),"")</f>
        <v>4.7727272727272725</v>
      </c>
      <c r="AN27" s="18"/>
      <c r="AO27" s="18"/>
      <c r="AP27" s="18">
        <f>IF(COUNT(AP20:AP25)&gt;0,AVERAGE(AP4:AP25),"")</f>
        <v>4.6363636363636367</v>
      </c>
      <c r="AQ27" s="18"/>
      <c r="AR27" s="18"/>
      <c r="AS27" s="18">
        <f>IF(COUNT(AS20:AS25)&gt;0,AVERAGE(AS4:AS25),"")</f>
        <v>3.9090909090909092</v>
      </c>
      <c r="AT27" s="18"/>
      <c r="AU27" s="18"/>
      <c r="AV27" s="18">
        <f>IF(COUNT(AV20:AV25)&gt;0,AVERAGE(AV4:AV25),"")</f>
        <v>4.3181818181818183</v>
      </c>
      <c r="AW27" s="18"/>
      <c r="AX27" s="18"/>
      <c r="AY27" s="18">
        <f>IF(COUNT(AY20:AY25)&gt;0,AVERAGE(AY4:AY25),"")</f>
        <v>3.9090909090909092</v>
      </c>
      <c r="AZ27" s="18"/>
      <c r="BA27" s="18"/>
      <c r="BB27" s="18">
        <f>IF(COUNT(BB20:BB25)&gt;0,AVERAGE(BB4:BB25),"")</f>
        <v>4.6818181818181817</v>
      </c>
      <c r="BC27" s="18"/>
      <c r="BD27" s="18"/>
    </row>
    <row r="29" spans="1:64" x14ac:dyDescent="0.25">
      <c r="C29" s="6">
        <v>7</v>
      </c>
      <c r="D29" s="7" t="s">
        <v>26</v>
      </c>
      <c r="E29" s="7"/>
      <c r="G29" s="7"/>
      <c r="H29" s="7"/>
    </row>
    <row r="30" spans="1:64" x14ac:dyDescent="0.25">
      <c r="C30" s="8">
        <v>7</v>
      </c>
      <c r="D30" s="7" t="s">
        <v>27</v>
      </c>
      <c r="E30" s="7"/>
      <c r="G30" s="7"/>
      <c r="H30" s="7"/>
    </row>
    <row r="31" spans="1:64" x14ac:dyDescent="0.25">
      <c r="C31" s="28">
        <v>7</v>
      </c>
      <c r="D31" s="7" t="s">
        <v>58</v>
      </c>
    </row>
    <row r="33" spans="2:56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2:56" x14ac:dyDescent="0.25"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2:56" x14ac:dyDescent="0.25">
      <c r="B35" s="9"/>
    </row>
    <row r="36" spans="2:56" x14ac:dyDescent="0.25">
      <c r="B36" s="9"/>
    </row>
    <row r="59" spans="3:56" x14ac:dyDescent="0.25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/>
      <c r="BD59"/>
    </row>
    <row r="60" spans="3:56" x14ac:dyDescent="0.25">
      <c r="C60" s="10"/>
      <c r="D60" s="10"/>
      <c r="E60" s="1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2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2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sortState xmlns:xlrd2="http://schemas.microsoft.com/office/spreadsheetml/2017/richdata2" ref="BI4:BK25">
    <sortCondition ref="BK4:BK25"/>
    <sortCondition ref="BJ4:BJ25"/>
  </sortState>
  <mergeCells count="37">
    <mergeCell ref="AY1:BA1"/>
    <mergeCell ref="BB1:BD1"/>
    <mergeCell ref="F1:H1"/>
    <mergeCell ref="I1:K1"/>
    <mergeCell ref="L1:N1"/>
    <mergeCell ref="O1:Q1"/>
    <mergeCell ref="R1:T1"/>
    <mergeCell ref="U1:W1"/>
    <mergeCell ref="X1:Z1"/>
    <mergeCell ref="AA1:AC1"/>
    <mergeCell ref="AV1:AX1"/>
    <mergeCell ref="AG1:AI1"/>
    <mergeCell ref="AJ1:AL1"/>
    <mergeCell ref="AM1:AO1"/>
    <mergeCell ref="AP1:AR1"/>
    <mergeCell ref="AS1:AU1"/>
    <mergeCell ref="AP2:AR2"/>
    <mergeCell ref="AM2:AO2"/>
    <mergeCell ref="AJ2:AL2"/>
    <mergeCell ref="AG2:AI2"/>
    <mergeCell ref="BI2:BK2"/>
    <mergeCell ref="BB2:BD2"/>
    <mergeCell ref="AY2:BA2"/>
    <mergeCell ref="AV2:AX2"/>
    <mergeCell ref="AS2:AU2"/>
    <mergeCell ref="AD1:AF1"/>
    <mergeCell ref="C1:E1"/>
    <mergeCell ref="C2:E2"/>
    <mergeCell ref="I2:K2"/>
    <mergeCell ref="F2:H2"/>
    <mergeCell ref="R2:T2"/>
    <mergeCell ref="O2:Q2"/>
    <mergeCell ref="L2:N2"/>
    <mergeCell ref="AD2:AF2"/>
    <mergeCell ref="AA2:AC2"/>
    <mergeCell ref="X2:Z2"/>
    <mergeCell ref="U2:W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E4C-776D-4FCF-99A9-CA5B48B57B89}">
  <sheetPr codeName="Sheet3"/>
  <dimension ref="A1:BM6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5" sqref="A5:Z5"/>
    </sheetView>
  </sheetViews>
  <sheetFormatPr defaultRowHeight="15" x14ac:dyDescent="0.25"/>
  <cols>
    <col min="1" max="1" width="8.85546875" bestFit="1" customWidth="1"/>
    <col min="2" max="2" width="12.5703125" customWidth="1"/>
    <col min="3" max="3" width="4.7109375" style="2" bestFit="1" customWidth="1"/>
    <col min="4" max="5" width="4.7109375" style="2" customWidth="1"/>
    <col min="6" max="6" width="4.7109375" style="2" bestFit="1" customWidth="1"/>
    <col min="7" max="8" width="4.7109375" style="2" customWidth="1"/>
    <col min="9" max="9" width="4.7109375" style="2" bestFit="1" customWidth="1"/>
    <col min="10" max="11" width="4.7109375" style="2" customWidth="1"/>
    <col min="12" max="12" width="4.7109375" style="2" bestFit="1" customWidth="1"/>
    <col min="13" max="14" width="4.7109375" style="2" customWidth="1"/>
    <col min="15" max="15" width="4.7109375" style="2" bestFit="1" customWidth="1"/>
    <col min="16" max="17" width="4.7109375" style="2" customWidth="1"/>
    <col min="18" max="18" width="4.7109375" style="2" bestFit="1" customWidth="1"/>
    <col min="19" max="20" width="4.7109375" style="2" customWidth="1"/>
    <col min="21" max="21" width="4.7109375" style="2" bestFit="1" customWidth="1"/>
    <col min="22" max="23" width="4.7109375" style="2" customWidth="1"/>
    <col min="24" max="24" width="4.7109375" style="2" bestFit="1" customWidth="1"/>
    <col min="25" max="26" width="4.7109375" style="2" customWidth="1"/>
    <col min="27" max="27" width="4.7109375" style="2" bestFit="1" customWidth="1"/>
    <col min="28" max="29" width="4.7109375" style="2" customWidth="1"/>
    <col min="30" max="30" width="4.7109375" style="2" bestFit="1" customWidth="1"/>
    <col min="31" max="32" width="4.7109375" style="2" customWidth="1"/>
    <col min="33" max="33" width="4.7109375" style="2" bestFit="1" customWidth="1"/>
    <col min="34" max="35" width="4.7109375" style="2" customWidth="1"/>
    <col min="36" max="36" width="4.7109375" style="2" bestFit="1" customWidth="1"/>
    <col min="37" max="38" width="4.7109375" style="2" customWidth="1"/>
    <col min="39" max="39" width="4.7109375" style="2" bestFit="1" customWidth="1"/>
    <col min="40" max="41" width="4.7109375" style="2" customWidth="1"/>
    <col min="42" max="42" width="4.7109375" style="2" bestFit="1" customWidth="1"/>
    <col min="43" max="44" width="4.7109375" style="2" customWidth="1"/>
    <col min="45" max="45" width="4.7109375" style="2" bestFit="1" customWidth="1"/>
    <col min="46" max="47" width="4.7109375" style="2" customWidth="1"/>
    <col min="48" max="48" width="4.7109375" style="2" bestFit="1" customWidth="1"/>
    <col min="49" max="50" width="4.7109375" style="2" customWidth="1"/>
    <col min="51" max="51" width="4.7109375" style="2" bestFit="1" customWidth="1"/>
    <col min="52" max="52" width="4.7109375" style="2" customWidth="1"/>
    <col min="53" max="53" width="5.140625" style="2" customWidth="1"/>
    <col min="54" max="54" width="4.7109375" style="2" bestFit="1" customWidth="1"/>
    <col min="55" max="56" width="4.7109375" style="2" customWidth="1"/>
    <col min="57" max="57" width="4.7109375" bestFit="1" customWidth="1"/>
    <col min="58" max="58" width="8.85546875" bestFit="1" customWidth="1"/>
    <col min="59" max="59" width="11.5703125" bestFit="1" customWidth="1"/>
    <col min="60" max="61" width="4.7109375" customWidth="1"/>
    <col min="62" max="62" width="12" bestFit="1" customWidth="1"/>
    <col min="63" max="63" width="11.5703125" bestFit="1" customWidth="1"/>
    <col min="64" max="64" width="5.5703125" bestFit="1" customWidth="1"/>
  </cols>
  <sheetData>
    <row r="1" spans="1:65" ht="21.95" customHeight="1" x14ac:dyDescent="0.25">
      <c r="A1" s="9" t="s">
        <v>0</v>
      </c>
      <c r="B1" s="7">
        <v>4</v>
      </c>
      <c r="C1" s="52">
        <v>44778</v>
      </c>
      <c r="D1" s="53"/>
      <c r="E1" s="54"/>
      <c r="F1" s="55">
        <f>C1+1</f>
        <v>44779</v>
      </c>
      <c r="G1" s="55"/>
      <c r="H1" s="55"/>
      <c r="I1" s="55">
        <f>F1+1</f>
        <v>44780</v>
      </c>
      <c r="J1" s="55"/>
      <c r="K1" s="55"/>
      <c r="L1" s="55">
        <f>I1+1</f>
        <v>44781</v>
      </c>
      <c r="M1" s="55"/>
      <c r="N1" s="55"/>
      <c r="O1" s="55">
        <f>L1+1</f>
        <v>44782</v>
      </c>
      <c r="P1" s="55"/>
      <c r="Q1" s="55"/>
      <c r="R1" s="55">
        <f>O1+1</f>
        <v>44783</v>
      </c>
      <c r="S1" s="55"/>
      <c r="T1" s="55"/>
      <c r="U1" s="55">
        <f>R1+1</f>
        <v>44784</v>
      </c>
      <c r="V1" s="55"/>
      <c r="W1" s="55"/>
      <c r="X1" s="55">
        <f>U1+1</f>
        <v>44785</v>
      </c>
      <c r="Y1" s="55"/>
      <c r="Z1" s="55"/>
      <c r="AA1" s="55">
        <f>X1+1</f>
        <v>44786</v>
      </c>
      <c r="AB1" s="55"/>
      <c r="AC1" s="55"/>
      <c r="AD1" s="55">
        <f>AA1+1</f>
        <v>44787</v>
      </c>
      <c r="AE1" s="55"/>
      <c r="AF1" s="55"/>
      <c r="AG1" s="55">
        <f>AD1+1</f>
        <v>44788</v>
      </c>
      <c r="AH1" s="55"/>
      <c r="AI1" s="55"/>
      <c r="AJ1" s="55">
        <f>AG1+1</f>
        <v>44789</v>
      </c>
      <c r="AK1" s="55"/>
      <c r="AL1" s="55"/>
      <c r="AM1" s="55">
        <f>AJ1+1</f>
        <v>44790</v>
      </c>
      <c r="AN1" s="55"/>
      <c r="AO1" s="55"/>
      <c r="AP1" s="55">
        <f>AM1+1</f>
        <v>44791</v>
      </c>
      <c r="AQ1" s="55"/>
      <c r="AR1" s="55"/>
      <c r="AS1" s="55">
        <f>AP1+1</f>
        <v>44792</v>
      </c>
      <c r="AT1" s="55"/>
      <c r="AU1" s="55"/>
      <c r="AV1" s="55">
        <f>AS1+1</f>
        <v>44793</v>
      </c>
      <c r="AW1" s="55"/>
      <c r="AX1" s="55"/>
      <c r="AY1" s="55">
        <f>AV1+1</f>
        <v>44794</v>
      </c>
      <c r="AZ1" s="55"/>
      <c r="BA1" s="55"/>
      <c r="BB1" s="55">
        <f t="shared" ref="BB1:BB3" si="0">AY1+1</f>
        <v>44795</v>
      </c>
      <c r="BC1" s="55"/>
      <c r="BD1" s="55"/>
      <c r="BE1" s="4"/>
      <c r="BF1" s="4"/>
      <c r="BG1" s="4"/>
      <c r="BH1" s="4"/>
      <c r="BI1" s="4"/>
    </row>
    <row r="2" spans="1:65" ht="21" customHeight="1" x14ac:dyDescent="0.25">
      <c r="B2" s="9" t="s">
        <v>1</v>
      </c>
      <c r="C2" s="49">
        <v>412</v>
      </c>
      <c r="D2" s="50"/>
      <c r="E2" s="51"/>
      <c r="F2" s="56">
        <f>C2+1</f>
        <v>413</v>
      </c>
      <c r="G2" s="56"/>
      <c r="H2" s="56"/>
      <c r="I2" s="56">
        <f>F2+1</f>
        <v>414</v>
      </c>
      <c r="J2" s="56"/>
      <c r="K2" s="56"/>
      <c r="L2" s="56">
        <f>I2+1</f>
        <v>415</v>
      </c>
      <c r="M2" s="56"/>
      <c r="N2" s="56"/>
      <c r="O2" s="56">
        <f>L2+1</f>
        <v>416</v>
      </c>
      <c r="P2" s="56"/>
      <c r="Q2" s="56"/>
      <c r="R2" s="56">
        <f>O2+1</f>
        <v>417</v>
      </c>
      <c r="S2" s="56"/>
      <c r="T2" s="56"/>
      <c r="U2" s="56">
        <f>R2+1</f>
        <v>418</v>
      </c>
      <c r="V2" s="56"/>
      <c r="W2" s="56"/>
      <c r="X2" s="56">
        <f>U2+1</f>
        <v>419</v>
      </c>
      <c r="Y2" s="56"/>
      <c r="Z2" s="56"/>
      <c r="AA2" s="56">
        <f>X2+1</f>
        <v>420</v>
      </c>
      <c r="AB2" s="56"/>
      <c r="AC2" s="56"/>
      <c r="AD2" s="56">
        <f>AA2+1</f>
        <v>421</v>
      </c>
      <c r="AE2" s="56"/>
      <c r="AF2" s="56"/>
      <c r="AG2" s="56">
        <f>AD2+1</f>
        <v>422</v>
      </c>
      <c r="AH2" s="56"/>
      <c r="AI2" s="56"/>
      <c r="AJ2" s="56">
        <f>AG2+1</f>
        <v>423</v>
      </c>
      <c r="AK2" s="56"/>
      <c r="AL2" s="56"/>
      <c r="AM2" s="56">
        <f>AJ2+1</f>
        <v>424</v>
      </c>
      <c r="AN2" s="56"/>
      <c r="AO2" s="56"/>
      <c r="AP2" s="56">
        <f>AM2+1</f>
        <v>425</v>
      </c>
      <c r="AQ2" s="56"/>
      <c r="AR2" s="56"/>
      <c r="AS2" s="56">
        <f>AP2+1</f>
        <v>426</v>
      </c>
      <c r="AT2" s="56"/>
      <c r="AU2" s="56"/>
      <c r="AV2" s="56">
        <f>AS2+1</f>
        <v>427</v>
      </c>
      <c r="AW2" s="56"/>
      <c r="AX2" s="56"/>
      <c r="AY2" s="56">
        <f>AV2+1</f>
        <v>428</v>
      </c>
      <c r="AZ2" s="56"/>
      <c r="BA2" s="56"/>
      <c r="BB2" s="56">
        <f t="shared" si="0"/>
        <v>429</v>
      </c>
      <c r="BC2" s="56"/>
      <c r="BD2" s="56"/>
      <c r="BE2" s="5"/>
      <c r="BF2" s="5"/>
      <c r="BG2" s="5"/>
      <c r="BH2" s="5"/>
      <c r="BI2" s="5"/>
      <c r="BJ2" s="48" t="s">
        <v>2</v>
      </c>
      <c r="BK2" s="48"/>
      <c r="BL2" s="48"/>
    </row>
    <row r="3" spans="1:65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si="0"/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</row>
    <row r="4" spans="1:65" x14ac:dyDescent="0.25">
      <c r="A4" t="s">
        <v>42</v>
      </c>
      <c r="B4" t="s">
        <v>43</v>
      </c>
      <c r="C4" s="16">
        <v>6</v>
      </c>
      <c r="D4" s="2">
        <f>IF(C4&lt;&gt;"",C4-$B$1,"")</f>
        <v>2</v>
      </c>
      <c r="E4" s="13">
        <f>D4</f>
        <v>2</v>
      </c>
      <c r="F4" s="16">
        <v>3</v>
      </c>
      <c r="G4" s="2">
        <f>IF(F4&lt;&gt;"",F4-$B$1,"")</f>
        <v>-1</v>
      </c>
      <c r="H4" s="13">
        <f>IF(F4&lt;&gt;"",E4+G4,"")</f>
        <v>1</v>
      </c>
      <c r="I4" s="16">
        <v>3</v>
      </c>
      <c r="J4" s="2">
        <f>IF(I4&lt;&gt;"",I4-$B$1,"")</f>
        <v>-1</v>
      </c>
      <c r="K4" s="13">
        <f>IF(I4&lt;&gt;"",H4+J4,"")</f>
        <v>0</v>
      </c>
      <c r="L4" s="16">
        <v>4</v>
      </c>
      <c r="M4" s="2">
        <f>IF(L4&lt;&gt;"",L4-$B$1,"")</f>
        <v>0</v>
      </c>
      <c r="N4" s="13">
        <f>IF(L4&lt;&gt;"",K4+M4,"")</f>
        <v>0</v>
      </c>
      <c r="O4" s="16">
        <v>4</v>
      </c>
      <c r="P4" s="2">
        <f>IF(O4&lt;&gt;"",O4-$B$1,"")</f>
        <v>0</v>
      </c>
      <c r="Q4" s="13">
        <f>IF(O4&lt;&gt;"",N4+P4,"")</f>
        <v>0</v>
      </c>
      <c r="R4" s="16">
        <v>4</v>
      </c>
      <c r="S4" s="2">
        <f>IF(R4&lt;&gt;"",R4-$B$1,"")</f>
        <v>0</v>
      </c>
      <c r="T4" s="13">
        <f>IF(R4&lt;&gt;"",Q4+S4,"")</f>
        <v>0</v>
      </c>
      <c r="U4" s="16">
        <v>4</v>
      </c>
      <c r="V4" s="2">
        <f>IF(U4&lt;&gt;"",U4-$B$1,"")</f>
        <v>0</v>
      </c>
      <c r="W4" s="13">
        <f>IF(U4&lt;&gt;"",T4+V4,"")</f>
        <v>0</v>
      </c>
      <c r="X4" s="16">
        <v>5</v>
      </c>
      <c r="Y4" s="2">
        <f>IF(X4&lt;&gt;"",X4-$B$1,"")</f>
        <v>1</v>
      </c>
      <c r="Z4" s="13">
        <f>IF(X4&lt;&gt;"",W4+Y4,"")</f>
        <v>1</v>
      </c>
      <c r="AA4" s="16">
        <v>4</v>
      </c>
      <c r="AB4" s="2">
        <f>IF(AA4&lt;&gt;"",AA4-$B$1,"")</f>
        <v>0</v>
      </c>
      <c r="AC4" s="13">
        <f>IF(AA4&lt;&gt;"",Z4+AB4,"")</f>
        <v>1</v>
      </c>
      <c r="AD4" s="16">
        <v>3</v>
      </c>
      <c r="AE4" s="2">
        <f>IF(AD4&lt;&gt;"",AD4-$B$1,"")</f>
        <v>-1</v>
      </c>
      <c r="AF4" s="13">
        <f>IF(AD4&lt;&gt;"",AC4+AE4,"")</f>
        <v>0</v>
      </c>
      <c r="AG4" s="16">
        <v>3</v>
      </c>
      <c r="AH4" s="2">
        <f>IF(AG4&lt;&gt;"",AG4-$B$1,"")</f>
        <v>-1</v>
      </c>
      <c r="AI4" s="13">
        <f>IF(AG4&lt;&gt;"",AF4+AH4,"")</f>
        <v>-1</v>
      </c>
      <c r="AJ4" s="16">
        <v>4</v>
      </c>
      <c r="AK4" s="2">
        <f>IF(AJ4&lt;&gt;"",AJ4-$B$1,"")</f>
        <v>0</v>
      </c>
      <c r="AL4" s="13">
        <f>IF(AJ4&lt;&gt;"",AI4+AK4,"")</f>
        <v>-1</v>
      </c>
      <c r="AM4" s="16">
        <v>3</v>
      </c>
      <c r="AN4" s="2">
        <f>IF(AM4&lt;&gt;"",AM4-$B$1,"")</f>
        <v>-1</v>
      </c>
      <c r="AO4" s="13">
        <f>IF(AM4&lt;&gt;"",AL4+AN4,"")</f>
        <v>-2</v>
      </c>
      <c r="AP4" s="16">
        <v>4</v>
      </c>
      <c r="AQ4" s="2">
        <f>IF(AP4&lt;&gt;"",AP4-$B$1,"")</f>
        <v>0</v>
      </c>
      <c r="AR4" s="13">
        <f>IF(AP4&lt;&gt;"",AO4+AQ4,"")</f>
        <v>-2</v>
      </c>
      <c r="AS4" s="16">
        <v>4</v>
      </c>
      <c r="AT4" s="2">
        <f>IF(AS4&lt;&gt;"",AS4-$B$1,"")</f>
        <v>0</v>
      </c>
      <c r="AU4" s="13">
        <f>IF(AS4&lt;&gt;"",AR4+AT4,"")</f>
        <v>-2</v>
      </c>
      <c r="AV4" s="16">
        <v>5</v>
      </c>
      <c r="AW4" s="2">
        <f>IF(AV4&lt;&gt;"",AV4-$B$1,"")</f>
        <v>1</v>
      </c>
      <c r="AX4" s="13">
        <f>IF(AV4&lt;&gt;"",AU4+AW4,"")</f>
        <v>-1</v>
      </c>
      <c r="AY4" s="16">
        <v>3</v>
      </c>
      <c r="AZ4" s="2">
        <f>IF(AY4&lt;&gt;"",AY4-$B$1,"")</f>
        <v>-1</v>
      </c>
      <c r="BA4" s="13">
        <f>IF(AY4&lt;&gt;"",AX4+AZ4,"")</f>
        <v>-2</v>
      </c>
      <c r="BB4" s="16">
        <v>5</v>
      </c>
      <c r="BC4" s="2">
        <f>IF(BB4&lt;&gt;"",BB4-$B$1,"")</f>
        <v>1</v>
      </c>
      <c r="BD4" s="13">
        <f>IF(BB4&lt;&gt;"",BA4+BC4,"")</f>
        <v>-1</v>
      </c>
      <c r="BF4" t="s">
        <v>42</v>
      </c>
      <c r="BG4" t="s">
        <v>43</v>
      </c>
      <c r="BH4" s="13">
        <v>-1</v>
      </c>
      <c r="BI4" s="2">
        <v>1</v>
      </c>
      <c r="BJ4" t="s">
        <v>21</v>
      </c>
      <c r="BK4" t="s">
        <v>31</v>
      </c>
      <c r="BL4" s="13">
        <v>-15</v>
      </c>
      <c r="BM4" s="1"/>
    </row>
    <row r="5" spans="1:65" x14ac:dyDescent="0.25">
      <c r="A5" t="s">
        <v>9</v>
      </c>
      <c r="B5" t="s">
        <v>10</v>
      </c>
      <c r="C5" s="16">
        <v>4</v>
      </c>
      <c r="D5" s="2">
        <f>C5-$B$1</f>
        <v>0</v>
      </c>
      <c r="E5" s="13">
        <f t="shared" ref="E5:E21" si="1">D5</f>
        <v>0</v>
      </c>
      <c r="F5" s="16">
        <v>4</v>
      </c>
      <c r="G5" s="2">
        <f t="shared" ref="G5:G21" si="2">IF(F5&lt;&gt;"",F5-$B$1,"")</f>
        <v>0</v>
      </c>
      <c r="H5" s="13">
        <f t="shared" ref="H5:H21" si="3">IF(F5&lt;&gt;"",E5+G5,"")</f>
        <v>0</v>
      </c>
      <c r="I5" s="16">
        <v>4</v>
      </c>
      <c r="J5" s="2">
        <f t="shared" ref="J5:J21" si="4">IF(I5&lt;&gt;"",I5-$B$1,"")</f>
        <v>0</v>
      </c>
      <c r="K5" s="13">
        <f t="shared" ref="K5:K21" si="5">IF(I5&lt;&gt;"",H5+J5,"")</f>
        <v>0</v>
      </c>
      <c r="L5" s="16">
        <v>4</v>
      </c>
      <c r="M5" s="2">
        <f t="shared" ref="M5:M21" si="6">IF(L5&lt;&gt;"",L5-$B$1,"")</f>
        <v>0</v>
      </c>
      <c r="N5" s="13">
        <f t="shared" ref="N5:N21" si="7">IF(L5&lt;&gt;"",K5+M5,"")</f>
        <v>0</v>
      </c>
      <c r="O5" s="16">
        <v>3</v>
      </c>
      <c r="P5" s="2">
        <f t="shared" ref="P5:P21" si="8">IF(O5&lt;&gt;"",O5-$B$1,"")</f>
        <v>-1</v>
      </c>
      <c r="Q5" s="13">
        <f t="shared" ref="Q5:Q21" si="9">IF(O5&lt;&gt;"",N5+P5,"")</f>
        <v>-1</v>
      </c>
      <c r="R5" s="16">
        <v>4</v>
      </c>
      <c r="S5" s="2">
        <f t="shared" ref="S5:S21" si="10">IF(R5&lt;&gt;"",R5-$B$1,"")</f>
        <v>0</v>
      </c>
      <c r="T5" s="13">
        <f t="shared" ref="T5:T21" si="11">IF(R5&lt;&gt;"",Q5+S5,"")</f>
        <v>-1</v>
      </c>
      <c r="U5" s="16">
        <v>4</v>
      </c>
      <c r="V5" s="2">
        <f t="shared" ref="V5:V21" si="12">IF(U5&lt;&gt;"",U5-$B$1,"")</f>
        <v>0</v>
      </c>
      <c r="W5" s="13">
        <f t="shared" ref="W5:W21" si="13">IF(U5&lt;&gt;"",T5+V5,"")</f>
        <v>-1</v>
      </c>
      <c r="X5" s="16">
        <v>5</v>
      </c>
      <c r="Y5" s="2">
        <f t="shared" ref="Y5:Y21" si="14">IF(X5&lt;&gt;"",X5-$B$1,"")</f>
        <v>1</v>
      </c>
      <c r="Z5" s="13">
        <f t="shared" ref="Z5:Z21" si="15">IF(X5&lt;&gt;"",W5+Y5,"")</f>
        <v>0</v>
      </c>
      <c r="AA5" s="36">
        <f>$C$25</f>
        <v>7</v>
      </c>
      <c r="AB5" s="2">
        <f t="shared" ref="AB5:AB21" si="16">IF(AA5&lt;&gt;"",AA5-$B$1,"")</f>
        <v>3</v>
      </c>
      <c r="AC5" s="13">
        <f t="shared" ref="AC5:AC21" si="17">IF(AA5&lt;&gt;"",Z5+AB5,"")</f>
        <v>3</v>
      </c>
      <c r="AD5" s="16">
        <v>4</v>
      </c>
      <c r="AE5" s="2">
        <f t="shared" ref="AE5:AE21" si="18">IF(AD5&lt;&gt;"",AD5-$B$1,"")</f>
        <v>0</v>
      </c>
      <c r="AF5" s="13">
        <f t="shared" ref="AF5:AF21" si="19">IF(AD5&lt;&gt;"",AC5+AE5,"")</f>
        <v>3</v>
      </c>
      <c r="AG5" s="16">
        <v>6</v>
      </c>
      <c r="AH5" s="2">
        <f t="shared" ref="AH5:AH21" si="20">IF(AG5&lt;&gt;"",AG5-$B$1,"")</f>
        <v>2</v>
      </c>
      <c r="AI5" s="13">
        <f t="shared" ref="AI5:AI21" si="21">IF(AG5&lt;&gt;"",AF5+AH5,"")</f>
        <v>5</v>
      </c>
      <c r="AJ5" s="16">
        <v>4</v>
      </c>
      <c r="AK5" s="2">
        <f t="shared" ref="AK5:AK21" si="22">IF(AJ5&lt;&gt;"",AJ5-$B$1,"")</f>
        <v>0</v>
      </c>
      <c r="AL5" s="13">
        <f t="shared" ref="AL5:AL21" si="23">IF(AJ5&lt;&gt;"",AI5+AK5,"")</f>
        <v>5</v>
      </c>
      <c r="AM5" s="16">
        <v>4</v>
      </c>
      <c r="AN5" s="2">
        <f t="shared" ref="AN5:AN21" si="24">IF(AM5&lt;&gt;"",AM5-$B$1,"")</f>
        <v>0</v>
      </c>
      <c r="AO5" s="13">
        <f t="shared" ref="AO5:AO21" si="25">IF(AM5&lt;&gt;"",AL5+AN5,"")</f>
        <v>5</v>
      </c>
      <c r="AP5" s="16">
        <v>3</v>
      </c>
      <c r="AQ5" s="2">
        <f t="shared" ref="AQ5:AQ21" si="26">IF(AP5&lt;&gt;"",AP5-$B$1,"")</f>
        <v>-1</v>
      </c>
      <c r="AR5" s="13">
        <f t="shared" ref="AR5:AR21" si="27">IF(AP5&lt;&gt;"",AO5+AQ5,"")</f>
        <v>4</v>
      </c>
      <c r="AS5" s="16">
        <v>4</v>
      </c>
      <c r="AT5" s="2">
        <f t="shared" ref="AT5:AT21" si="28">IF(AS5&lt;&gt;"",AS5-$B$1,"")</f>
        <v>0</v>
      </c>
      <c r="AU5" s="13">
        <f t="shared" ref="AU5:AU21" si="29">IF(AS5&lt;&gt;"",AR5+AT5,"")</f>
        <v>4</v>
      </c>
      <c r="AV5" s="16">
        <v>4</v>
      </c>
      <c r="AW5" s="2">
        <f t="shared" ref="AW5:AW21" si="30">IF(AV5&lt;&gt;"",AV5-$B$1,"")</f>
        <v>0</v>
      </c>
      <c r="AX5" s="13">
        <f t="shared" ref="AX5:AX21" si="31">IF(AV5&lt;&gt;"",AU5+AW5,"")</f>
        <v>4</v>
      </c>
      <c r="AY5" s="16">
        <v>2</v>
      </c>
      <c r="AZ5" s="2">
        <f t="shared" ref="AZ5:AZ21" si="32">IF(AY5&lt;&gt;"",AY5-$B$1,"")</f>
        <v>-2</v>
      </c>
      <c r="BA5" s="13">
        <f>IF(AY5&lt;&gt;"",AX5+AZ5,"")</f>
        <v>2</v>
      </c>
      <c r="BB5" s="16">
        <v>4</v>
      </c>
      <c r="BC5" s="2">
        <f t="shared" ref="BC5:BC21" si="33">IF(BB5&lt;&gt;"",BB5-$B$1,"")</f>
        <v>0</v>
      </c>
      <c r="BD5" s="13">
        <f t="shared" ref="BD5:BD21" si="34">IF(BB5&lt;&gt;"",BA5+BC5,"")</f>
        <v>2</v>
      </c>
      <c r="BF5" t="s">
        <v>9</v>
      </c>
      <c r="BG5" t="s">
        <v>10</v>
      </c>
      <c r="BH5" s="13">
        <v>2</v>
      </c>
      <c r="BI5" s="2">
        <v>2</v>
      </c>
      <c r="BJ5" t="s">
        <v>48</v>
      </c>
      <c r="BK5" t="s">
        <v>49</v>
      </c>
      <c r="BL5" s="13">
        <v>-5</v>
      </c>
      <c r="BM5" s="1"/>
    </row>
    <row r="6" spans="1:65" x14ac:dyDescent="0.25">
      <c r="A6" t="s">
        <v>50</v>
      </c>
      <c r="B6" t="s">
        <v>51</v>
      </c>
      <c r="C6" s="16">
        <v>4</v>
      </c>
      <c r="D6" s="2">
        <f t="shared" ref="D6:D21" si="35">C6-$B$1</f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6</v>
      </c>
      <c r="J6" s="2">
        <f t="shared" si="4"/>
        <v>2</v>
      </c>
      <c r="K6" s="13">
        <f t="shared" si="5"/>
        <v>2</v>
      </c>
      <c r="L6" s="16">
        <v>4</v>
      </c>
      <c r="M6" s="2">
        <f t="shared" si="6"/>
        <v>0</v>
      </c>
      <c r="N6" s="13">
        <f t="shared" si="7"/>
        <v>2</v>
      </c>
      <c r="O6" s="16">
        <v>3</v>
      </c>
      <c r="P6" s="2">
        <f t="shared" si="8"/>
        <v>-1</v>
      </c>
      <c r="Q6" s="13">
        <f t="shared" si="9"/>
        <v>1</v>
      </c>
      <c r="R6" s="16">
        <v>5</v>
      </c>
      <c r="S6" s="2">
        <f t="shared" si="10"/>
        <v>1</v>
      </c>
      <c r="T6" s="13">
        <f t="shared" si="11"/>
        <v>2</v>
      </c>
      <c r="U6" s="16">
        <v>4</v>
      </c>
      <c r="V6" s="2">
        <f t="shared" si="12"/>
        <v>0</v>
      </c>
      <c r="W6" s="13">
        <f t="shared" si="13"/>
        <v>2</v>
      </c>
      <c r="X6" s="36">
        <f>$C$25</f>
        <v>7</v>
      </c>
      <c r="Y6" s="2">
        <f t="shared" si="14"/>
        <v>3</v>
      </c>
      <c r="Z6" s="13">
        <f t="shared" si="15"/>
        <v>5</v>
      </c>
      <c r="AA6" s="36">
        <f>$C$25</f>
        <v>7</v>
      </c>
      <c r="AB6" s="2">
        <f t="shared" si="16"/>
        <v>3</v>
      </c>
      <c r="AC6" s="13">
        <f t="shared" si="17"/>
        <v>8</v>
      </c>
      <c r="AD6" s="16">
        <v>3</v>
      </c>
      <c r="AE6" s="2">
        <f t="shared" si="18"/>
        <v>-1</v>
      </c>
      <c r="AF6" s="13">
        <f t="shared" si="19"/>
        <v>7</v>
      </c>
      <c r="AG6" s="16">
        <v>4</v>
      </c>
      <c r="AH6" s="2">
        <f t="shared" si="20"/>
        <v>0</v>
      </c>
      <c r="AI6" s="13">
        <f t="shared" si="21"/>
        <v>7</v>
      </c>
      <c r="AJ6" s="16">
        <v>5</v>
      </c>
      <c r="AK6" s="2">
        <f t="shared" si="22"/>
        <v>1</v>
      </c>
      <c r="AL6" s="13">
        <f t="shared" si="23"/>
        <v>8</v>
      </c>
      <c r="AM6" s="16">
        <v>4</v>
      </c>
      <c r="AN6" s="2">
        <f t="shared" si="24"/>
        <v>0</v>
      </c>
      <c r="AO6" s="13">
        <f t="shared" si="25"/>
        <v>8</v>
      </c>
      <c r="AP6" s="16">
        <v>3</v>
      </c>
      <c r="AQ6" s="2">
        <f t="shared" si="26"/>
        <v>-1</v>
      </c>
      <c r="AR6" s="13">
        <f t="shared" si="27"/>
        <v>7</v>
      </c>
      <c r="AS6" s="16">
        <v>3</v>
      </c>
      <c r="AT6" s="2">
        <f t="shared" si="28"/>
        <v>-1</v>
      </c>
      <c r="AU6" s="13">
        <f t="shared" si="29"/>
        <v>6</v>
      </c>
      <c r="AV6" s="16">
        <v>3</v>
      </c>
      <c r="AW6" s="2">
        <f t="shared" si="30"/>
        <v>-1</v>
      </c>
      <c r="AX6" s="13">
        <f t="shared" si="31"/>
        <v>5</v>
      </c>
      <c r="AY6" s="16">
        <v>2</v>
      </c>
      <c r="AZ6" s="2">
        <f t="shared" si="32"/>
        <v>-2</v>
      </c>
      <c r="BA6" s="13">
        <f t="shared" ref="BA6:BA21" si="36">IF(AY6&lt;&gt;"",AX6+AZ6,"")</f>
        <v>3</v>
      </c>
      <c r="BB6" s="16">
        <v>3</v>
      </c>
      <c r="BC6" s="2">
        <f t="shared" si="33"/>
        <v>-1</v>
      </c>
      <c r="BD6" s="13">
        <f t="shared" si="34"/>
        <v>2</v>
      </c>
      <c r="BF6" t="s">
        <v>50</v>
      </c>
      <c r="BG6" t="s">
        <v>51</v>
      </c>
      <c r="BH6" s="13">
        <v>2</v>
      </c>
      <c r="BI6" s="2">
        <v>3</v>
      </c>
      <c r="BJ6" t="s">
        <v>15</v>
      </c>
      <c r="BK6" t="s">
        <v>16</v>
      </c>
      <c r="BL6" s="13">
        <v>-4</v>
      </c>
      <c r="BM6" s="1"/>
    </row>
    <row r="7" spans="1:65" x14ac:dyDescent="0.25">
      <c r="A7" t="s">
        <v>11</v>
      </c>
      <c r="B7" t="s">
        <v>12</v>
      </c>
      <c r="C7" s="16">
        <v>6</v>
      </c>
      <c r="D7" s="2">
        <f>C7-$B$1</f>
        <v>2</v>
      </c>
      <c r="E7" s="13">
        <f t="shared" si="1"/>
        <v>2</v>
      </c>
      <c r="F7" s="16">
        <v>2</v>
      </c>
      <c r="G7" s="2">
        <f t="shared" si="2"/>
        <v>-2</v>
      </c>
      <c r="H7" s="13">
        <f t="shared" si="3"/>
        <v>0</v>
      </c>
      <c r="I7" s="16">
        <v>4</v>
      </c>
      <c r="J7" s="2">
        <f t="shared" si="4"/>
        <v>0</v>
      </c>
      <c r="K7" s="13">
        <f t="shared" si="5"/>
        <v>0</v>
      </c>
      <c r="L7" s="16">
        <v>4</v>
      </c>
      <c r="M7" s="2">
        <f t="shared" si="6"/>
        <v>0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5</v>
      </c>
      <c r="S7" s="2">
        <f t="shared" si="10"/>
        <v>1</v>
      </c>
      <c r="T7" s="13">
        <f t="shared" si="11"/>
        <v>3</v>
      </c>
      <c r="U7" s="16">
        <v>5</v>
      </c>
      <c r="V7" s="2">
        <f t="shared" si="12"/>
        <v>1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4</v>
      </c>
      <c r="AE7" s="2">
        <f t="shared" si="18"/>
        <v>0</v>
      </c>
      <c r="AF7" s="13">
        <f t="shared" si="19"/>
        <v>5</v>
      </c>
      <c r="AG7" s="16">
        <v>5</v>
      </c>
      <c r="AH7" s="2">
        <f t="shared" si="20"/>
        <v>1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4</v>
      </c>
      <c r="AN7" s="2">
        <f t="shared" si="24"/>
        <v>0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29"/>
        <v>7</v>
      </c>
      <c r="AV7" s="16">
        <v>3</v>
      </c>
      <c r="AW7" s="2">
        <f t="shared" si="30"/>
        <v>-1</v>
      </c>
      <c r="AX7" s="13">
        <f t="shared" si="31"/>
        <v>6</v>
      </c>
      <c r="AY7" s="16">
        <v>3</v>
      </c>
      <c r="AZ7" s="2">
        <f t="shared" si="32"/>
        <v>-1</v>
      </c>
      <c r="BA7" s="13">
        <f t="shared" si="36"/>
        <v>5</v>
      </c>
      <c r="BB7" s="16">
        <v>3</v>
      </c>
      <c r="BC7" s="2">
        <f t="shared" si="33"/>
        <v>-1</v>
      </c>
      <c r="BD7" s="13">
        <f t="shared" si="34"/>
        <v>4</v>
      </c>
      <c r="BF7" t="s">
        <v>11</v>
      </c>
      <c r="BG7" t="s">
        <v>12</v>
      </c>
      <c r="BH7" s="13">
        <v>4</v>
      </c>
      <c r="BI7" s="2">
        <v>4</v>
      </c>
      <c r="BJ7" t="s">
        <v>44</v>
      </c>
      <c r="BK7" t="s">
        <v>45</v>
      </c>
      <c r="BL7" s="13">
        <v>-2</v>
      </c>
      <c r="BM7" s="1"/>
    </row>
    <row r="8" spans="1:65" x14ac:dyDescent="0.25">
      <c r="A8" t="s">
        <v>13</v>
      </c>
      <c r="B8" t="s">
        <v>14</v>
      </c>
      <c r="C8" s="16">
        <v>4</v>
      </c>
      <c r="D8" s="2">
        <f t="shared" si="35"/>
        <v>0</v>
      </c>
      <c r="E8" s="13">
        <f t="shared" si="1"/>
        <v>0</v>
      </c>
      <c r="F8" s="16">
        <v>3</v>
      </c>
      <c r="G8" s="2">
        <f t="shared" si="2"/>
        <v>-1</v>
      </c>
      <c r="H8" s="13">
        <f t="shared" si="3"/>
        <v>-1</v>
      </c>
      <c r="I8" s="16">
        <v>5</v>
      </c>
      <c r="J8" s="2">
        <f t="shared" si="4"/>
        <v>1</v>
      </c>
      <c r="K8" s="13">
        <f t="shared" si="5"/>
        <v>0</v>
      </c>
      <c r="L8" s="16">
        <v>4</v>
      </c>
      <c r="M8" s="2">
        <f t="shared" si="6"/>
        <v>0</v>
      </c>
      <c r="N8" s="13">
        <f t="shared" si="7"/>
        <v>0</v>
      </c>
      <c r="O8" s="16">
        <v>6</v>
      </c>
      <c r="P8" s="2">
        <f t="shared" si="8"/>
        <v>2</v>
      </c>
      <c r="Q8" s="13">
        <f t="shared" si="9"/>
        <v>2</v>
      </c>
      <c r="R8" s="16">
        <v>6</v>
      </c>
      <c r="S8" s="2">
        <f t="shared" si="10"/>
        <v>2</v>
      </c>
      <c r="T8" s="13">
        <f t="shared" si="11"/>
        <v>4</v>
      </c>
      <c r="U8" s="36">
        <f>$C$25</f>
        <v>7</v>
      </c>
      <c r="V8" s="2">
        <f t="shared" si="12"/>
        <v>3</v>
      </c>
      <c r="W8" s="13">
        <f t="shared" si="13"/>
        <v>7</v>
      </c>
      <c r="X8" s="16">
        <v>5</v>
      </c>
      <c r="Y8" s="2">
        <f t="shared" si="14"/>
        <v>1</v>
      </c>
      <c r="Z8" s="13">
        <f t="shared" si="15"/>
        <v>8</v>
      </c>
      <c r="AA8" s="16">
        <v>4</v>
      </c>
      <c r="AB8" s="2">
        <f t="shared" si="16"/>
        <v>0</v>
      </c>
      <c r="AC8" s="13">
        <f t="shared" si="17"/>
        <v>8</v>
      </c>
      <c r="AD8" s="16">
        <v>4</v>
      </c>
      <c r="AE8" s="2">
        <f t="shared" si="18"/>
        <v>0</v>
      </c>
      <c r="AF8" s="13">
        <f t="shared" si="19"/>
        <v>8</v>
      </c>
      <c r="AG8" s="16">
        <v>5</v>
      </c>
      <c r="AH8" s="2">
        <f t="shared" si="20"/>
        <v>1</v>
      </c>
      <c r="AI8" s="13">
        <f t="shared" si="21"/>
        <v>9</v>
      </c>
      <c r="AJ8" s="16">
        <v>4</v>
      </c>
      <c r="AK8" s="2">
        <f t="shared" si="22"/>
        <v>0</v>
      </c>
      <c r="AL8" s="13">
        <f t="shared" si="23"/>
        <v>9</v>
      </c>
      <c r="AM8" s="16">
        <v>4</v>
      </c>
      <c r="AN8" s="2">
        <f t="shared" si="24"/>
        <v>0</v>
      </c>
      <c r="AO8" s="13">
        <f t="shared" si="25"/>
        <v>9</v>
      </c>
      <c r="AP8" s="16">
        <v>5</v>
      </c>
      <c r="AQ8" s="2">
        <f t="shared" si="26"/>
        <v>1</v>
      </c>
      <c r="AR8" s="13">
        <f t="shared" si="27"/>
        <v>10</v>
      </c>
      <c r="AS8" s="16">
        <v>4</v>
      </c>
      <c r="AT8" s="2">
        <f t="shared" si="28"/>
        <v>0</v>
      </c>
      <c r="AU8" s="13">
        <f t="shared" si="29"/>
        <v>10</v>
      </c>
      <c r="AV8" s="16">
        <v>4</v>
      </c>
      <c r="AW8" s="2">
        <f t="shared" si="30"/>
        <v>0</v>
      </c>
      <c r="AX8" s="13">
        <f t="shared" si="31"/>
        <v>10</v>
      </c>
      <c r="AY8" s="16">
        <v>3</v>
      </c>
      <c r="AZ8" s="2">
        <f t="shared" si="32"/>
        <v>-1</v>
      </c>
      <c r="BA8" s="13">
        <f t="shared" si="36"/>
        <v>9</v>
      </c>
      <c r="BB8" s="16">
        <v>3</v>
      </c>
      <c r="BC8" s="2">
        <f t="shared" si="33"/>
        <v>-1</v>
      </c>
      <c r="BD8" s="13">
        <f t="shared" si="34"/>
        <v>8</v>
      </c>
      <c r="BF8" t="s">
        <v>13</v>
      </c>
      <c r="BG8" t="s">
        <v>14</v>
      </c>
      <c r="BH8" s="13">
        <v>8</v>
      </c>
      <c r="BI8" s="2">
        <v>5</v>
      </c>
      <c r="BJ8" t="s">
        <v>42</v>
      </c>
      <c r="BK8" t="s">
        <v>43</v>
      </c>
      <c r="BL8" s="13">
        <v>-1</v>
      </c>
      <c r="BM8" s="1"/>
    </row>
    <row r="9" spans="1:65" x14ac:dyDescent="0.25">
      <c r="A9" t="s">
        <v>17</v>
      </c>
      <c r="B9" t="s">
        <v>18</v>
      </c>
      <c r="C9" s="16">
        <v>5</v>
      </c>
      <c r="D9" s="2">
        <f t="shared" si="35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36">
        <f>$C$25</f>
        <v>7</v>
      </c>
      <c r="J9" s="2">
        <f t="shared" si="4"/>
        <v>3</v>
      </c>
      <c r="K9" s="13">
        <f t="shared" si="5"/>
        <v>3</v>
      </c>
      <c r="L9" s="16">
        <v>2</v>
      </c>
      <c r="M9" s="2">
        <f t="shared" si="6"/>
        <v>-2</v>
      </c>
      <c r="N9" s="13">
        <f>IF(L9&lt;&gt;"",K9+M9,"")</f>
        <v>1</v>
      </c>
      <c r="O9" s="36">
        <f>$C$25</f>
        <v>7</v>
      </c>
      <c r="P9" s="2">
        <f t="shared" si="8"/>
        <v>3</v>
      </c>
      <c r="Q9" s="13">
        <f t="shared" si="9"/>
        <v>4</v>
      </c>
      <c r="R9" s="16">
        <v>4</v>
      </c>
      <c r="S9" s="2">
        <f t="shared" si="10"/>
        <v>0</v>
      </c>
      <c r="T9" s="13">
        <f t="shared" si="11"/>
        <v>4</v>
      </c>
      <c r="U9" s="16">
        <v>5</v>
      </c>
      <c r="V9" s="2">
        <f t="shared" si="12"/>
        <v>1</v>
      </c>
      <c r="W9" s="13">
        <f t="shared" si="13"/>
        <v>5</v>
      </c>
      <c r="X9" s="16">
        <v>6</v>
      </c>
      <c r="Y9" s="2">
        <f t="shared" si="14"/>
        <v>2</v>
      </c>
      <c r="Z9" s="13">
        <f t="shared" si="15"/>
        <v>7</v>
      </c>
      <c r="AA9" s="36">
        <f>$C$25</f>
        <v>7</v>
      </c>
      <c r="AB9" s="2">
        <f t="shared" si="16"/>
        <v>3</v>
      </c>
      <c r="AC9" s="13">
        <f t="shared" si="17"/>
        <v>10</v>
      </c>
      <c r="AD9" s="16">
        <v>3</v>
      </c>
      <c r="AE9" s="2">
        <f t="shared" si="18"/>
        <v>-1</v>
      </c>
      <c r="AF9" s="13">
        <f t="shared" si="19"/>
        <v>9</v>
      </c>
      <c r="AG9" s="16">
        <v>4</v>
      </c>
      <c r="AH9" s="2">
        <f t="shared" si="20"/>
        <v>0</v>
      </c>
      <c r="AI9" s="13">
        <f t="shared" si="21"/>
        <v>9</v>
      </c>
      <c r="AJ9" s="16">
        <v>4</v>
      </c>
      <c r="AK9" s="2">
        <f t="shared" si="22"/>
        <v>0</v>
      </c>
      <c r="AL9" s="13">
        <f t="shared" si="23"/>
        <v>9</v>
      </c>
      <c r="AM9" s="16">
        <v>3</v>
      </c>
      <c r="AN9" s="2">
        <f t="shared" si="24"/>
        <v>-1</v>
      </c>
      <c r="AO9" s="13">
        <f t="shared" si="25"/>
        <v>8</v>
      </c>
      <c r="AP9" s="16">
        <v>4</v>
      </c>
      <c r="AQ9" s="2">
        <f t="shared" si="26"/>
        <v>0</v>
      </c>
      <c r="AR9" s="13">
        <f t="shared" si="27"/>
        <v>8</v>
      </c>
      <c r="AS9" s="16">
        <v>2</v>
      </c>
      <c r="AT9" s="2">
        <f t="shared" si="28"/>
        <v>-2</v>
      </c>
      <c r="AU9" s="13">
        <f t="shared" si="29"/>
        <v>6</v>
      </c>
      <c r="AV9" s="16">
        <v>2</v>
      </c>
      <c r="AW9" s="2">
        <f t="shared" si="30"/>
        <v>-2</v>
      </c>
      <c r="AX9" s="13">
        <f t="shared" si="31"/>
        <v>4</v>
      </c>
      <c r="AY9" s="16">
        <v>4</v>
      </c>
      <c r="AZ9" s="2">
        <f t="shared" si="32"/>
        <v>0</v>
      </c>
      <c r="BA9" s="13">
        <f t="shared" si="36"/>
        <v>4</v>
      </c>
      <c r="BB9" s="16">
        <v>5</v>
      </c>
      <c r="BC9" s="2">
        <f t="shared" si="33"/>
        <v>1</v>
      </c>
      <c r="BD9" s="13">
        <f t="shared" si="34"/>
        <v>5</v>
      </c>
      <c r="BF9" t="s">
        <v>17</v>
      </c>
      <c r="BG9" t="s">
        <v>18</v>
      </c>
      <c r="BH9" s="13">
        <v>5</v>
      </c>
      <c r="BI9" s="2">
        <v>6</v>
      </c>
      <c r="BJ9" t="s">
        <v>32</v>
      </c>
      <c r="BK9" t="s">
        <v>33</v>
      </c>
      <c r="BL9" s="13">
        <v>0</v>
      </c>
      <c r="BM9" s="1"/>
    </row>
    <row r="10" spans="1:65" x14ac:dyDescent="0.25">
      <c r="A10" t="s">
        <v>44</v>
      </c>
      <c r="B10" t="s">
        <v>45</v>
      </c>
      <c r="C10" s="16">
        <v>4</v>
      </c>
      <c r="D10" s="2">
        <f t="shared" si="35"/>
        <v>0</v>
      </c>
      <c r="E10" s="13">
        <f t="shared" si="1"/>
        <v>0</v>
      </c>
      <c r="F10" s="16">
        <v>3</v>
      </c>
      <c r="G10" s="2">
        <f t="shared" si="2"/>
        <v>-1</v>
      </c>
      <c r="H10" s="13">
        <f t="shared" si="3"/>
        <v>-1</v>
      </c>
      <c r="I10" s="16">
        <v>5</v>
      </c>
      <c r="J10" s="2">
        <f t="shared" si="4"/>
        <v>1</v>
      </c>
      <c r="K10" s="13">
        <f t="shared" si="5"/>
        <v>0</v>
      </c>
      <c r="L10" s="16">
        <v>3</v>
      </c>
      <c r="M10" s="2">
        <f t="shared" si="6"/>
        <v>-1</v>
      </c>
      <c r="N10" s="13">
        <f t="shared" si="7"/>
        <v>-1</v>
      </c>
      <c r="O10" s="16">
        <v>4</v>
      </c>
      <c r="P10" s="2">
        <f t="shared" si="8"/>
        <v>0</v>
      </c>
      <c r="Q10" s="13">
        <f t="shared" si="9"/>
        <v>-1</v>
      </c>
      <c r="R10" s="16">
        <v>4</v>
      </c>
      <c r="S10" s="2">
        <f t="shared" si="10"/>
        <v>0</v>
      </c>
      <c r="T10" s="13">
        <f t="shared" si="11"/>
        <v>-1</v>
      </c>
      <c r="U10" s="16">
        <v>4</v>
      </c>
      <c r="V10" s="2">
        <f t="shared" si="12"/>
        <v>0</v>
      </c>
      <c r="W10" s="13">
        <f t="shared" si="13"/>
        <v>-1</v>
      </c>
      <c r="X10" s="16">
        <v>4</v>
      </c>
      <c r="Y10" s="2">
        <f t="shared" si="14"/>
        <v>0</v>
      </c>
      <c r="Z10" s="13">
        <f t="shared" si="15"/>
        <v>-1</v>
      </c>
      <c r="AA10" s="8">
        <f>$C$26</f>
        <v>7</v>
      </c>
      <c r="AB10" s="2">
        <f t="shared" si="16"/>
        <v>3</v>
      </c>
      <c r="AC10" s="13">
        <f t="shared" si="17"/>
        <v>2</v>
      </c>
      <c r="AD10" s="16">
        <v>5</v>
      </c>
      <c r="AE10" s="2">
        <f t="shared" si="18"/>
        <v>1</v>
      </c>
      <c r="AF10" s="13">
        <f t="shared" si="19"/>
        <v>3</v>
      </c>
      <c r="AG10" s="16">
        <v>4</v>
      </c>
      <c r="AH10" s="2">
        <f t="shared" si="20"/>
        <v>0</v>
      </c>
      <c r="AI10" s="13">
        <f t="shared" si="21"/>
        <v>3</v>
      </c>
      <c r="AJ10" s="16">
        <v>3</v>
      </c>
      <c r="AK10" s="2">
        <f t="shared" si="22"/>
        <v>-1</v>
      </c>
      <c r="AL10" s="13">
        <f t="shared" si="23"/>
        <v>2</v>
      </c>
      <c r="AM10" s="16">
        <v>4</v>
      </c>
      <c r="AN10" s="2">
        <f t="shared" si="24"/>
        <v>0</v>
      </c>
      <c r="AO10" s="13">
        <f t="shared" si="25"/>
        <v>2</v>
      </c>
      <c r="AP10" s="16">
        <v>4</v>
      </c>
      <c r="AQ10" s="2">
        <f t="shared" si="26"/>
        <v>0</v>
      </c>
      <c r="AR10" s="13">
        <f t="shared" si="27"/>
        <v>2</v>
      </c>
      <c r="AS10" s="16">
        <v>4</v>
      </c>
      <c r="AT10" s="2">
        <f t="shared" si="28"/>
        <v>0</v>
      </c>
      <c r="AU10" s="13">
        <f t="shared" si="29"/>
        <v>2</v>
      </c>
      <c r="AV10" s="16">
        <v>2</v>
      </c>
      <c r="AW10" s="2">
        <f t="shared" si="30"/>
        <v>-2</v>
      </c>
      <c r="AX10" s="13">
        <f t="shared" si="31"/>
        <v>0</v>
      </c>
      <c r="AY10" s="16">
        <v>3</v>
      </c>
      <c r="AZ10" s="2">
        <f t="shared" si="32"/>
        <v>-1</v>
      </c>
      <c r="BA10" s="13">
        <f t="shared" si="36"/>
        <v>-1</v>
      </c>
      <c r="BB10" s="16">
        <v>3</v>
      </c>
      <c r="BC10" s="2">
        <f t="shared" si="33"/>
        <v>-1</v>
      </c>
      <c r="BD10" s="13">
        <f t="shared" si="34"/>
        <v>-2</v>
      </c>
      <c r="BF10" t="s">
        <v>44</v>
      </c>
      <c r="BG10" t="s">
        <v>45</v>
      </c>
      <c r="BH10" s="13">
        <v>-2</v>
      </c>
      <c r="BI10" s="2">
        <v>7</v>
      </c>
      <c r="BJ10" t="s">
        <v>34</v>
      </c>
      <c r="BK10" t="s">
        <v>35</v>
      </c>
      <c r="BL10" s="13">
        <v>1</v>
      </c>
      <c r="BM10" s="1"/>
    </row>
    <row r="11" spans="1:65" x14ac:dyDescent="0.25">
      <c r="A11" t="s">
        <v>32</v>
      </c>
      <c r="B11" t="s">
        <v>33</v>
      </c>
      <c r="C11" s="16">
        <v>4</v>
      </c>
      <c r="D11" s="2">
        <f t="shared" si="35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5</v>
      </c>
      <c r="M11" s="2">
        <f t="shared" si="6"/>
        <v>1</v>
      </c>
      <c r="N11" s="13">
        <f t="shared" si="7"/>
        <v>2</v>
      </c>
      <c r="O11" s="16">
        <v>5</v>
      </c>
      <c r="P11" s="2">
        <f t="shared" si="8"/>
        <v>1</v>
      </c>
      <c r="Q11" s="13">
        <f t="shared" si="9"/>
        <v>3</v>
      </c>
      <c r="R11" s="16">
        <v>5</v>
      </c>
      <c r="S11" s="2">
        <f t="shared" si="10"/>
        <v>1</v>
      </c>
      <c r="T11" s="13">
        <f t="shared" si="11"/>
        <v>4</v>
      </c>
      <c r="U11" s="16">
        <v>6</v>
      </c>
      <c r="V11" s="2">
        <f t="shared" si="12"/>
        <v>2</v>
      </c>
      <c r="W11" s="13">
        <f t="shared" si="13"/>
        <v>6</v>
      </c>
      <c r="X11" s="16">
        <v>4</v>
      </c>
      <c r="Y11" s="2">
        <f t="shared" si="14"/>
        <v>0</v>
      </c>
      <c r="Z11" s="13">
        <f t="shared" si="15"/>
        <v>6</v>
      </c>
      <c r="AA11" s="16">
        <v>3</v>
      </c>
      <c r="AB11" s="2">
        <f t="shared" si="16"/>
        <v>-1</v>
      </c>
      <c r="AC11" s="13">
        <f t="shared" si="17"/>
        <v>5</v>
      </c>
      <c r="AD11" s="16">
        <v>4</v>
      </c>
      <c r="AE11" s="2">
        <f t="shared" si="18"/>
        <v>0</v>
      </c>
      <c r="AF11" s="13">
        <f t="shared" si="19"/>
        <v>5</v>
      </c>
      <c r="AG11" s="16">
        <v>3</v>
      </c>
      <c r="AH11" s="2">
        <f t="shared" si="20"/>
        <v>-1</v>
      </c>
      <c r="AI11" s="13">
        <f t="shared" si="21"/>
        <v>4</v>
      </c>
      <c r="AJ11" s="16">
        <v>5</v>
      </c>
      <c r="AK11" s="2">
        <f t="shared" si="22"/>
        <v>1</v>
      </c>
      <c r="AL11" s="13">
        <f t="shared" si="23"/>
        <v>5</v>
      </c>
      <c r="AM11" s="16">
        <v>3</v>
      </c>
      <c r="AN11" s="2">
        <f t="shared" si="24"/>
        <v>-1</v>
      </c>
      <c r="AO11" s="13">
        <f t="shared" si="25"/>
        <v>4</v>
      </c>
      <c r="AP11" s="16">
        <v>3</v>
      </c>
      <c r="AQ11" s="2">
        <f t="shared" si="26"/>
        <v>-1</v>
      </c>
      <c r="AR11" s="13">
        <f t="shared" si="27"/>
        <v>3</v>
      </c>
      <c r="AS11" s="16">
        <v>3</v>
      </c>
      <c r="AT11" s="2">
        <f t="shared" si="28"/>
        <v>-1</v>
      </c>
      <c r="AU11" s="13">
        <f t="shared" si="29"/>
        <v>2</v>
      </c>
      <c r="AV11" s="16">
        <v>3</v>
      </c>
      <c r="AW11" s="2">
        <f t="shared" si="30"/>
        <v>-1</v>
      </c>
      <c r="AX11" s="13">
        <f t="shared" si="31"/>
        <v>1</v>
      </c>
      <c r="AY11" s="16">
        <v>3</v>
      </c>
      <c r="AZ11" s="2">
        <f t="shared" si="32"/>
        <v>-1</v>
      </c>
      <c r="BA11" s="13">
        <f t="shared" si="36"/>
        <v>0</v>
      </c>
      <c r="BB11" s="16">
        <v>4</v>
      </c>
      <c r="BC11" s="2">
        <f t="shared" si="33"/>
        <v>0</v>
      </c>
      <c r="BD11" s="13">
        <f t="shared" si="34"/>
        <v>0</v>
      </c>
      <c r="BF11" t="s">
        <v>32</v>
      </c>
      <c r="BG11" t="s">
        <v>33</v>
      </c>
      <c r="BH11" s="13">
        <v>0</v>
      </c>
      <c r="BI11" s="2">
        <v>8</v>
      </c>
      <c r="BJ11" t="s">
        <v>19</v>
      </c>
      <c r="BK11" t="s">
        <v>20</v>
      </c>
      <c r="BL11" s="13">
        <v>1</v>
      </c>
      <c r="BM11" s="1"/>
    </row>
    <row r="12" spans="1:65" x14ac:dyDescent="0.25">
      <c r="A12" t="s">
        <v>34</v>
      </c>
      <c r="B12" t="s">
        <v>35</v>
      </c>
      <c r="C12" s="36">
        <f>$C$25</f>
        <v>7</v>
      </c>
      <c r="D12" s="2">
        <f t="shared" si="35"/>
        <v>3</v>
      </c>
      <c r="E12" s="13">
        <f t="shared" si="1"/>
        <v>3</v>
      </c>
      <c r="F12" s="16">
        <v>2</v>
      </c>
      <c r="G12" s="2">
        <f t="shared" si="2"/>
        <v>-2</v>
      </c>
      <c r="H12" s="13">
        <f t="shared" si="3"/>
        <v>1</v>
      </c>
      <c r="I12" s="16">
        <v>6</v>
      </c>
      <c r="J12" s="2">
        <f t="shared" si="4"/>
        <v>2</v>
      </c>
      <c r="K12" s="13">
        <f t="shared" si="5"/>
        <v>3</v>
      </c>
      <c r="L12" s="16">
        <v>4</v>
      </c>
      <c r="M12" s="2">
        <f t="shared" si="6"/>
        <v>0</v>
      </c>
      <c r="N12" s="13">
        <f t="shared" si="7"/>
        <v>3</v>
      </c>
      <c r="O12" s="16">
        <v>4</v>
      </c>
      <c r="P12" s="2">
        <f t="shared" si="8"/>
        <v>0</v>
      </c>
      <c r="Q12" s="13">
        <f t="shared" si="9"/>
        <v>3</v>
      </c>
      <c r="R12" s="16">
        <v>5</v>
      </c>
      <c r="S12" s="2">
        <f t="shared" si="10"/>
        <v>1</v>
      </c>
      <c r="T12" s="13">
        <f t="shared" si="11"/>
        <v>4</v>
      </c>
      <c r="U12" s="16">
        <v>3</v>
      </c>
      <c r="V12" s="2">
        <f t="shared" si="12"/>
        <v>-1</v>
      </c>
      <c r="W12" s="13">
        <f t="shared" si="13"/>
        <v>3</v>
      </c>
      <c r="X12" s="16">
        <v>4</v>
      </c>
      <c r="Y12" s="2">
        <f t="shared" si="14"/>
        <v>0</v>
      </c>
      <c r="Z12" s="13">
        <f t="shared" si="15"/>
        <v>3</v>
      </c>
      <c r="AA12" s="16">
        <v>4</v>
      </c>
      <c r="AB12" s="2">
        <f t="shared" si="16"/>
        <v>0</v>
      </c>
      <c r="AC12" s="13">
        <f t="shared" si="17"/>
        <v>3</v>
      </c>
      <c r="AD12" s="16">
        <v>4</v>
      </c>
      <c r="AE12" s="2">
        <f t="shared" si="18"/>
        <v>0</v>
      </c>
      <c r="AF12" s="13">
        <f t="shared" si="19"/>
        <v>3</v>
      </c>
      <c r="AG12" s="16">
        <v>6</v>
      </c>
      <c r="AH12" s="2">
        <f t="shared" si="20"/>
        <v>2</v>
      </c>
      <c r="AI12" s="13">
        <f t="shared" si="21"/>
        <v>5</v>
      </c>
      <c r="AJ12" s="16">
        <v>5</v>
      </c>
      <c r="AK12" s="2">
        <f t="shared" si="22"/>
        <v>1</v>
      </c>
      <c r="AL12" s="13">
        <f t="shared" si="23"/>
        <v>6</v>
      </c>
      <c r="AM12" s="16">
        <v>3</v>
      </c>
      <c r="AN12" s="2">
        <f t="shared" si="24"/>
        <v>-1</v>
      </c>
      <c r="AO12" s="13">
        <f t="shared" si="25"/>
        <v>5</v>
      </c>
      <c r="AP12" s="16">
        <v>4</v>
      </c>
      <c r="AQ12" s="2">
        <f t="shared" si="26"/>
        <v>0</v>
      </c>
      <c r="AR12" s="13">
        <f t="shared" si="27"/>
        <v>5</v>
      </c>
      <c r="AS12" s="16">
        <v>3</v>
      </c>
      <c r="AT12" s="2">
        <f t="shared" si="28"/>
        <v>-1</v>
      </c>
      <c r="AU12" s="13">
        <f t="shared" si="29"/>
        <v>4</v>
      </c>
      <c r="AV12" s="16">
        <v>3</v>
      </c>
      <c r="AW12" s="2">
        <f t="shared" si="30"/>
        <v>-1</v>
      </c>
      <c r="AX12" s="13">
        <f t="shared" si="31"/>
        <v>3</v>
      </c>
      <c r="AY12" s="16">
        <v>3</v>
      </c>
      <c r="AZ12" s="2">
        <f t="shared" si="32"/>
        <v>-1</v>
      </c>
      <c r="BA12" s="13">
        <f t="shared" si="36"/>
        <v>2</v>
      </c>
      <c r="BB12" s="16">
        <v>3</v>
      </c>
      <c r="BC12" s="2">
        <f t="shared" si="33"/>
        <v>-1</v>
      </c>
      <c r="BD12" s="13">
        <f t="shared" si="34"/>
        <v>1</v>
      </c>
      <c r="BF12" t="s">
        <v>34</v>
      </c>
      <c r="BG12" t="s">
        <v>35</v>
      </c>
      <c r="BH12" s="13">
        <v>1</v>
      </c>
      <c r="BI12" s="2">
        <v>9</v>
      </c>
      <c r="BJ12" t="s">
        <v>23</v>
      </c>
      <c r="BK12" t="s">
        <v>24</v>
      </c>
      <c r="BL12" s="13">
        <v>1</v>
      </c>
      <c r="BM12" s="1"/>
    </row>
    <row r="13" spans="1:65" x14ac:dyDescent="0.25">
      <c r="A13" t="s">
        <v>15</v>
      </c>
      <c r="B13" t="s">
        <v>16</v>
      </c>
      <c r="C13" s="16">
        <v>4</v>
      </c>
      <c r="D13" s="2">
        <f t="shared" si="35"/>
        <v>0</v>
      </c>
      <c r="E13" s="13">
        <f t="shared" si="1"/>
        <v>0</v>
      </c>
      <c r="F13" s="16">
        <v>3</v>
      </c>
      <c r="G13" s="2">
        <f t="shared" si="2"/>
        <v>-1</v>
      </c>
      <c r="H13" s="13">
        <f t="shared" si="3"/>
        <v>-1</v>
      </c>
      <c r="I13" s="16">
        <v>3</v>
      </c>
      <c r="J13" s="2">
        <f t="shared" si="4"/>
        <v>-1</v>
      </c>
      <c r="K13" s="13">
        <f t="shared" si="5"/>
        <v>-2</v>
      </c>
      <c r="L13" s="16">
        <v>3</v>
      </c>
      <c r="M13" s="2">
        <f t="shared" si="6"/>
        <v>-1</v>
      </c>
      <c r="N13" s="13">
        <f t="shared" si="7"/>
        <v>-3</v>
      </c>
      <c r="O13" s="16">
        <v>4</v>
      </c>
      <c r="P13" s="2">
        <f t="shared" si="8"/>
        <v>0</v>
      </c>
      <c r="Q13" s="13">
        <f t="shared" si="9"/>
        <v>-3</v>
      </c>
      <c r="R13" s="16">
        <v>5</v>
      </c>
      <c r="S13" s="2">
        <f t="shared" si="10"/>
        <v>1</v>
      </c>
      <c r="T13" s="13">
        <f t="shared" si="11"/>
        <v>-2</v>
      </c>
      <c r="U13" s="16">
        <v>3</v>
      </c>
      <c r="V13" s="2">
        <f t="shared" si="12"/>
        <v>-1</v>
      </c>
      <c r="W13" s="13">
        <f t="shared" si="13"/>
        <v>-3</v>
      </c>
      <c r="X13" s="16">
        <v>4</v>
      </c>
      <c r="Y13" s="2">
        <f t="shared" si="14"/>
        <v>0</v>
      </c>
      <c r="Z13" s="13">
        <f t="shared" si="15"/>
        <v>-3</v>
      </c>
      <c r="AA13" s="16">
        <v>5</v>
      </c>
      <c r="AB13" s="2">
        <f t="shared" si="16"/>
        <v>1</v>
      </c>
      <c r="AC13" s="13">
        <f t="shared" si="17"/>
        <v>-2</v>
      </c>
      <c r="AD13" s="16">
        <v>4</v>
      </c>
      <c r="AE13" s="2">
        <f t="shared" si="18"/>
        <v>0</v>
      </c>
      <c r="AF13" s="13">
        <f t="shared" si="19"/>
        <v>-2</v>
      </c>
      <c r="AG13" s="16">
        <v>4</v>
      </c>
      <c r="AH13" s="2">
        <f t="shared" si="20"/>
        <v>0</v>
      </c>
      <c r="AI13" s="13">
        <f t="shared" si="21"/>
        <v>-2</v>
      </c>
      <c r="AJ13" s="16">
        <v>5</v>
      </c>
      <c r="AK13" s="2">
        <f t="shared" si="22"/>
        <v>1</v>
      </c>
      <c r="AL13" s="13">
        <f t="shared" si="23"/>
        <v>-1</v>
      </c>
      <c r="AM13" s="16">
        <v>4</v>
      </c>
      <c r="AN13" s="2">
        <f t="shared" si="24"/>
        <v>0</v>
      </c>
      <c r="AO13" s="13">
        <f t="shared" si="25"/>
        <v>-1</v>
      </c>
      <c r="AP13" s="16">
        <v>3</v>
      </c>
      <c r="AQ13" s="2">
        <f t="shared" si="26"/>
        <v>-1</v>
      </c>
      <c r="AR13" s="13">
        <f t="shared" si="27"/>
        <v>-2</v>
      </c>
      <c r="AS13" s="16">
        <v>2</v>
      </c>
      <c r="AT13" s="2">
        <f t="shared" si="28"/>
        <v>-2</v>
      </c>
      <c r="AU13" s="13">
        <f t="shared" si="29"/>
        <v>-4</v>
      </c>
      <c r="AV13" s="16">
        <v>4</v>
      </c>
      <c r="AW13" s="2">
        <f t="shared" si="30"/>
        <v>0</v>
      </c>
      <c r="AX13" s="13">
        <f t="shared" si="31"/>
        <v>-4</v>
      </c>
      <c r="AY13" s="16">
        <v>5</v>
      </c>
      <c r="AZ13" s="2">
        <f t="shared" si="32"/>
        <v>1</v>
      </c>
      <c r="BA13" s="13">
        <f t="shared" si="36"/>
        <v>-3</v>
      </c>
      <c r="BB13" s="16">
        <v>3</v>
      </c>
      <c r="BC13" s="2">
        <f t="shared" si="33"/>
        <v>-1</v>
      </c>
      <c r="BD13" s="13">
        <f t="shared" si="34"/>
        <v>-4</v>
      </c>
      <c r="BF13" t="s">
        <v>15</v>
      </c>
      <c r="BG13" t="s">
        <v>16</v>
      </c>
      <c r="BH13" s="13">
        <v>-4</v>
      </c>
      <c r="BI13" s="2">
        <v>10</v>
      </c>
      <c r="BJ13" t="s">
        <v>9</v>
      </c>
      <c r="BK13" t="s">
        <v>10</v>
      </c>
      <c r="BL13" s="13">
        <v>2</v>
      </c>
      <c r="BM13" s="1"/>
    </row>
    <row r="14" spans="1:65" x14ac:dyDescent="0.25">
      <c r="A14" t="s">
        <v>36</v>
      </c>
      <c r="B14" t="s">
        <v>37</v>
      </c>
      <c r="C14" s="16">
        <v>4</v>
      </c>
      <c r="D14" s="2">
        <f t="shared" si="35"/>
        <v>0</v>
      </c>
      <c r="E14" s="13">
        <f t="shared" si="1"/>
        <v>0</v>
      </c>
      <c r="F14" s="16">
        <v>5</v>
      </c>
      <c r="G14" s="2">
        <f t="shared" si="2"/>
        <v>1</v>
      </c>
      <c r="H14" s="13">
        <f t="shared" si="3"/>
        <v>1</v>
      </c>
      <c r="I14" s="16">
        <v>6</v>
      </c>
      <c r="J14" s="2">
        <f t="shared" si="4"/>
        <v>2</v>
      </c>
      <c r="K14" s="13">
        <f t="shared" si="5"/>
        <v>3</v>
      </c>
      <c r="L14" s="16">
        <v>4</v>
      </c>
      <c r="M14" s="2">
        <f t="shared" si="6"/>
        <v>0</v>
      </c>
      <c r="N14" s="13">
        <f t="shared" si="7"/>
        <v>3</v>
      </c>
      <c r="O14" s="36">
        <f>$C$25</f>
        <v>7</v>
      </c>
      <c r="P14" s="2">
        <f t="shared" si="8"/>
        <v>3</v>
      </c>
      <c r="Q14" s="13">
        <f t="shared" si="9"/>
        <v>6</v>
      </c>
      <c r="R14" s="16">
        <v>5</v>
      </c>
      <c r="S14" s="2">
        <f t="shared" si="10"/>
        <v>1</v>
      </c>
      <c r="T14" s="13">
        <f t="shared" si="11"/>
        <v>7</v>
      </c>
      <c r="U14" s="8">
        <f>$C$26</f>
        <v>7</v>
      </c>
      <c r="V14" s="2">
        <f t="shared" si="12"/>
        <v>3</v>
      </c>
      <c r="W14" s="13">
        <f t="shared" si="13"/>
        <v>10</v>
      </c>
      <c r="X14" s="36">
        <f>$C$25</f>
        <v>7</v>
      </c>
      <c r="Y14" s="2">
        <f t="shared" si="14"/>
        <v>3</v>
      </c>
      <c r="Z14" s="13">
        <f t="shared" si="15"/>
        <v>13</v>
      </c>
      <c r="AA14" s="16">
        <v>6</v>
      </c>
      <c r="AB14" s="2">
        <f t="shared" si="16"/>
        <v>2</v>
      </c>
      <c r="AC14" s="13">
        <f t="shared" si="17"/>
        <v>15</v>
      </c>
      <c r="AD14" s="16">
        <v>3</v>
      </c>
      <c r="AE14" s="2">
        <f t="shared" si="18"/>
        <v>-1</v>
      </c>
      <c r="AF14" s="13">
        <f t="shared" si="19"/>
        <v>14</v>
      </c>
      <c r="AG14" s="16">
        <v>4</v>
      </c>
      <c r="AH14" s="2">
        <f t="shared" si="20"/>
        <v>0</v>
      </c>
      <c r="AI14" s="13">
        <f t="shared" si="21"/>
        <v>14</v>
      </c>
      <c r="AJ14" s="16">
        <v>5</v>
      </c>
      <c r="AK14" s="2">
        <f t="shared" si="22"/>
        <v>1</v>
      </c>
      <c r="AL14" s="13">
        <f t="shared" si="23"/>
        <v>15</v>
      </c>
      <c r="AM14" s="16">
        <v>2</v>
      </c>
      <c r="AN14" s="2">
        <f t="shared" si="24"/>
        <v>-2</v>
      </c>
      <c r="AO14" s="13">
        <f t="shared" si="25"/>
        <v>13</v>
      </c>
      <c r="AP14" s="16">
        <v>4</v>
      </c>
      <c r="AQ14" s="2">
        <f t="shared" si="26"/>
        <v>0</v>
      </c>
      <c r="AR14" s="13">
        <f t="shared" si="27"/>
        <v>13</v>
      </c>
      <c r="AS14" s="16">
        <v>5</v>
      </c>
      <c r="AT14" s="2">
        <f t="shared" si="28"/>
        <v>1</v>
      </c>
      <c r="AU14" s="13">
        <f t="shared" si="29"/>
        <v>14</v>
      </c>
      <c r="AV14" s="16">
        <v>2</v>
      </c>
      <c r="AW14" s="2">
        <f t="shared" si="30"/>
        <v>-2</v>
      </c>
      <c r="AX14" s="13">
        <f t="shared" si="31"/>
        <v>12</v>
      </c>
      <c r="AY14" s="16">
        <v>3</v>
      </c>
      <c r="AZ14" s="2">
        <f t="shared" si="32"/>
        <v>-1</v>
      </c>
      <c r="BA14" s="13">
        <f t="shared" si="36"/>
        <v>11</v>
      </c>
      <c r="BB14" s="16">
        <v>5</v>
      </c>
      <c r="BC14" s="2">
        <f t="shared" si="33"/>
        <v>1</v>
      </c>
      <c r="BD14" s="13">
        <f t="shared" si="34"/>
        <v>12</v>
      </c>
      <c r="BF14" t="s">
        <v>36</v>
      </c>
      <c r="BG14" t="s">
        <v>37</v>
      </c>
      <c r="BH14" s="13">
        <v>12</v>
      </c>
      <c r="BI14" s="2">
        <v>11</v>
      </c>
      <c r="BJ14" t="s">
        <v>50</v>
      </c>
      <c r="BK14" t="s">
        <v>51</v>
      </c>
      <c r="BL14" s="13">
        <v>2</v>
      </c>
      <c r="BM14" s="1"/>
    </row>
    <row r="15" spans="1:65" x14ac:dyDescent="0.25">
      <c r="A15" t="s">
        <v>19</v>
      </c>
      <c r="B15" t="s">
        <v>20</v>
      </c>
      <c r="C15" s="16">
        <v>5</v>
      </c>
      <c r="D15" s="2">
        <f t="shared" si="35"/>
        <v>1</v>
      </c>
      <c r="E15" s="13">
        <f t="shared" si="1"/>
        <v>1</v>
      </c>
      <c r="F15" s="16">
        <v>3</v>
      </c>
      <c r="G15" s="2">
        <f t="shared" si="2"/>
        <v>-1</v>
      </c>
      <c r="H15" s="13">
        <f t="shared" si="3"/>
        <v>0</v>
      </c>
      <c r="I15" s="16">
        <v>4</v>
      </c>
      <c r="J15" s="2">
        <f t="shared" si="4"/>
        <v>0</v>
      </c>
      <c r="K15" s="13">
        <f t="shared" si="5"/>
        <v>0</v>
      </c>
      <c r="L15" s="16">
        <v>4</v>
      </c>
      <c r="M15" s="2">
        <f t="shared" si="6"/>
        <v>0</v>
      </c>
      <c r="N15" s="13">
        <f t="shared" si="7"/>
        <v>0</v>
      </c>
      <c r="O15" s="16">
        <v>5</v>
      </c>
      <c r="P15" s="2">
        <f t="shared" si="8"/>
        <v>1</v>
      </c>
      <c r="Q15" s="13">
        <f t="shared" si="9"/>
        <v>1</v>
      </c>
      <c r="R15" s="16">
        <v>6</v>
      </c>
      <c r="S15" s="2">
        <f t="shared" si="10"/>
        <v>2</v>
      </c>
      <c r="T15" s="13">
        <f t="shared" si="11"/>
        <v>3</v>
      </c>
      <c r="U15" s="16">
        <v>4</v>
      </c>
      <c r="V15" s="2">
        <f t="shared" si="12"/>
        <v>0</v>
      </c>
      <c r="W15" s="13">
        <f t="shared" si="13"/>
        <v>3</v>
      </c>
      <c r="X15" s="16">
        <v>6</v>
      </c>
      <c r="Y15" s="2">
        <f t="shared" si="14"/>
        <v>2</v>
      </c>
      <c r="Z15" s="13">
        <f t="shared" si="15"/>
        <v>5</v>
      </c>
      <c r="AA15" s="16">
        <v>3</v>
      </c>
      <c r="AB15" s="2">
        <f t="shared" si="16"/>
        <v>-1</v>
      </c>
      <c r="AC15" s="13">
        <f t="shared" si="17"/>
        <v>4</v>
      </c>
      <c r="AD15" s="16">
        <v>4</v>
      </c>
      <c r="AE15" s="2">
        <f t="shared" si="18"/>
        <v>0</v>
      </c>
      <c r="AF15" s="13">
        <f t="shared" si="19"/>
        <v>4</v>
      </c>
      <c r="AG15" s="16">
        <v>3</v>
      </c>
      <c r="AH15" s="2">
        <f t="shared" si="20"/>
        <v>-1</v>
      </c>
      <c r="AI15" s="13">
        <f t="shared" si="21"/>
        <v>3</v>
      </c>
      <c r="AJ15" s="16">
        <v>5</v>
      </c>
      <c r="AK15" s="2">
        <f t="shared" si="22"/>
        <v>1</v>
      </c>
      <c r="AL15" s="13">
        <f t="shared" si="23"/>
        <v>4</v>
      </c>
      <c r="AM15" s="16">
        <v>3</v>
      </c>
      <c r="AN15" s="2">
        <f t="shared" si="24"/>
        <v>-1</v>
      </c>
      <c r="AO15" s="13">
        <f t="shared" si="25"/>
        <v>3</v>
      </c>
      <c r="AP15" s="16">
        <v>3</v>
      </c>
      <c r="AQ15" s="2">
        <f t="shared" si="26"/>
        <v>-1</v>
      </c>
      <c r="AR15" s="13">
        <f t="shared" si="27"/>
        <v>2</v>
      </c>
      <c r="AS15" s="16">
        <v>5</v>
      </c>
      <c r="AT15" s="2">
        <f t="shared" si="28"/>
        <v>1</v>
      </c>
      <c r="AU15" s="13">
        <f t="shared" si="29"/>
        <v>3</v>
      </c>
      <c r="AV15" s="16">
        <v>3</v>
      </c>
      <c r="AW15" s="2">
        <f t="shared" si="30"/>
        <v>-1</v>
      </c>
      <c r="AX15" s="13">
        <f t="shared" si="31"/>
        <v>2</v>
      </c>
      <c r="AY15" s="16">
        <v>3</v>
      </c>
      <c r="AZ15" s="2">
        <f t="shared" si="32"/>
        <v>-1</v>
      </c>
      <c r="BA15" s="13">
        <f t="shared" si="36"/>
        <v>1</v>
      </c>
      <c r="BB15" s="16">
        <v>4</v>
      </c>
      <c r="BC15" s="2">
        <f t="shared" si="33"/>
        <v>0</v>
      </c>
      <c r="BD15" s="13">
        <f t="shared" si="34"/>
        <v>1</v>
      </c>
      <c r="BF15" t="s">
        <v>19</v>
      </c>
      <c r="BG15" t="s">
        <v>20</v>
      </c>
      <c r="BH15" s="13">
        <v>1</v>
      </c>
      <c r="BI15" s="2">
        <v>12</v>
      </c>
      <c r="BJ15" t="s">
        <v>11</v>
      </c>
      <c r="BK15" t="s">
        <v>12</v>
      </c>
      <c r="BL15" s="13">
        <v>4</v>
      </c>
      <c r="BM15" s="1"/>
    </row>
    <row r="16" spans="1:65" x14ac:dyDescent="0.25">
      <c r="A16" t="s">
        <v>46</v>
      </c>
      <c r="B16" t="s">
        <v>47</v>
      </c>
      <c r="C16" s="16">
        <v>4</v>
      </c>
      <c r="D16" s="2">
        <f t="shared" si="35"/>
        <v>0</v>
      </c>
      <c r="E16" s="13">
        <f t="shared" si="1"/>
        <v>0</v>
      </c>
      <c r="F16" s="16">
        <v>3</v>
      </c>
      <c r="G16" s="2">
        <f t="shared" si="2"/>
        <v>-1</v>
      </c>
      <c r="H16" s="13">
        <f t="shared" si="3"/>
        <v>-1</v>
      </c>
      <c r="I16" s="16">
        <v>5</v>
      </c>
      <c r="J16" s="2">
        <f t="shared" si="4"/>
        <v>1</v>
      </c>
      <c r="K16" s="13">
        <f t="shared" si="5"/>
        <v>0</v>
      </c>
      <c r="L16" s="16">
        <v>4</v>
      </c>
      <c r="M16" s="2">
        <f t="shared" si="6"/>
        <v>0</v>
      </c>
      <c r="N16" s="13">
        <f t="shared" si="7"/>
        <v>0</v>
      </c>
      <c r="O16" s="16">
        <v>4</v>
      </c>
      <c r="P16" s="2">
        <f t="shared" si="8"/>
        <v>0</v>
      </c>
      <c r="Q16" s="13">
        <f t="shared" si="9"/>
        <v>0</v>
      </c>
      <c r="R16" s="16">
        <v>4</v>
      </c>
      <c r="S16" s="2">
        <f t="shared" si="10"/>
        <v>0</v>
      </c>
      <c r="T16" s="13">
        <f t="shared" si="11"/>
        <v>0</v>
      </c>
      <c r="U16" s="16">
        <v>4</v>
      </c>
      <c r="V16" s="2">
        <f t="shared" si="12"/>
        <v>0</v>
      </c>
      <c r="W16" s="13">
        <f t="shared" si="13"/>
        <v>0</v>
      </c>
      <c r="X16" s="16">
        <v>4</v>
      </c>
      <c r="Y16" s="2">
        <f t="shared" si="14"/>
        <v>0</v>
      </c>
      <c r="Z16" s="13">
        <f t="shared" si="15"/>
        <v>0</v>
      </c>
      <c r="AA16" s="16">
        <v>5</v>
      </c>
      <c r="AB16" s="2">
        <f t="shared" si="16"/>
        <v>1</v>
      </c>
      <c r="AC16" s="13">
        <f t="shared" si="17"/>
        <v>1</v>
      </c>
      <c r="AD16" s="16">
        <v>4</v>
      </c>
      <c r="AE16" s="2">
        <f t="shared" si="18"/>
        <v>0</v>
      </c>
      <c r="AF16" s="13">
        <f t="shared" si="19"/>
        <v>1</v>
      </c>
      <c r="AG16" s="16">
        <v>5</v>
      </c>
      <c r="AH16" s="2">
        <f t="shared" si="20"/>
        <v>1</v>
      </c>
      <c r="AI16" s="13">
        <f t="shared" si="21"/>
        <v>2</v>
      </c>
      <c r="AJ16" s="16">
        <v>4</v>
      </c>
      <c r="AK16" s="2">
        <f t="shared" si="22"/>
        <v>0</v>
      </c>
      <c r="AL16" s="13">
        <f t="shared" si="23"/>
        <v>2</v>
      </c>
      <c r="AM16" s="16">
        <v>4</v>
      </c>
      <c r="AN16" s="2">
        <f t="shared" si="24"/>
        <v>0</v>
      </c>
      <c r="AO16" s="13">
        <f t="shared" si="25"/>
        <v>2</v>
      </c>
      <c r="AP16" s="16">
        <v>5</v>
      </c>
      <c r="AQ16" s="2">
        <f t="shared" si="26"/>
        <v>1</v>
      </c>
      <c r="AR16" s="13">
        <f t="shared" si="27"/>
        <v>3</v>
      </c>
      <c r="AS16" s="16">
        <v>4</v>
      </c>
      <c r="AT16" s="2">
        <f t="shared" si="28"/>
        <v>0</v>
      </c>
      <c r="AU16" s="13">
        <f t="shared" si="29"/>
        <v>3</v>
      </c>
      <c r="AV16" s="16">
        <v>4</v>
      </c>
      <c r="AW16" s="2">
        <f t="shared" si="30"/>
        <v>0</v>
      </c>
      <c r="AX16" s="13">
        <f t="shared" si="31"/>
        <v>3</v>
      </c>
      <c r="AY16" s="16">
        <v>6</v>
      </c>
      <c r="AZ16" s="2">
        <f t="shared" si="32"/>
        <v>2</v>
      </c>
      <c r="BA16" s="13">
        <f t="shared" si="36"/>
        <v>5</v>
      </c>
      <c r="BB16" s="16">
        <v>4</v>
      </c>
      <c r="BC16" s="2">
        <f t="shared" si="33"/>
        <v>0</v>
      </c>
      <c r="BD16" s="13">
        <f t="shared" si="34"/>
        <v>5</v>
      </c>
      <c r="BF16" t="s">
        <v>46</v>
      </c>
      <c r="BG16" t="s">
        <v>47</v>
      </c>
      <c r="BH16" s="13">
        <v>5</v>
      </c>
      <c r="BI16" s="2">
        <v>13</v>
      </c>
      <c r="BJ16" t="s">
        <v>17</v>
      </c>
      <c r="BK16" t="s">
        <v>18</v>
      </c>
      <c r="BL16" s="13">
        <v>5</v>
      </c>
      <c r="BM16" s="1"/>
    </row>
    <row r="17" spans="1:65" x14ac:dyDescent="0.25">
      <c r="A17" t="s">
        <v>56</v>
      </c>
      <c r="B17" t="s">
        <v>57</v>
      </c>
      <c r="C17" s="16">
        <v>5</v>
      </c>
      <c r="D17" s="2">
        <f t="shared" si="35"/>
        <v>1</v>
      </c>
      <c r="E17" s="13">
        <f t="shared" si="1"/>
        <v>1</v>
      </c>
      <c r="F17" s="36">
        <f>$C$25</f>
        <v>7</v>
      </c>
      <c r="G17" s="2">
        <f t="shared" si="2"/>
        <v>3</v>
      </c>
      <c r="H17" s="13">
        <f t="shared" si="3"/>
        <v>4</v>
      </c>
      <c r="I17" s="36">
        <f>$C$25</f>
        <v>7</v>
      </c>
      <c r="J17" s="2">
        <f t="shared" si="4"/>
        <v>3</v>
      </c>
      <c r="K17" s="13">
        <f t="shared" si="5"/>
        <v>7</v>
      </c>
      <c r="L17" s="16">
        <v>5</v>
      </c>
      <c r="M17" s="2">
        <f t="shared" si="6"/>
        <v>1</v>
      </c>
      <c r="N17" s="13">
        <f t="shared" si="7"/>
        <v>8</v>
      </c>
      <c r="O17" s="16">
        <v>4</v>
      </c>
      <c r="P17" s="2">
        <f t="shared" si="8"/>
        <v>0</v>
      </c>
      <c r="Q17" s="13">
        <f t="shared" si="9"/>
        <v>8</v>
      </c>
      <c r="R17" s="16">
        <v>5</v>
      </c>
      <c r="S17" s="2">
        <f t="shared" si="10"/>
        <v>1</v>
      </c>
      <c r="T17" s="13">
        <f t="shared" si="11"/>
        <v>9</v>
      </c>
      <c r="U17" s="16">
        <v>4</v>
      </c>
      <c r="V17" s="2">
        <f t="shared" si="12"/>
        <v>0</v>
      </c>
      <c r="W17" s="13">
        <f t="shared" si="13"/>
        <v>9</v>
      </c>
      <c r="X17" s="16">
        <v>3</v>
      </c>
      <c r="Y17" s="2">
        <f t="shared" si="14"/>
        <v>-1</v>
      </c>
      <c r="Z17" s="13">
        <f t="shared" si="15"/>
        <v>8</v>
      </c>
      <c r="AA17" s="16">
        <v>5</v>
      </c>
      <c r="AB17" s="2">
        <f t="shared" si="16"/>
        <v>1</v>
      </c>
      <c r="AC17" s="13">
        <f t="shared" si="17"/>
        <v>9</v>
      </c>
      <c r="AD17" s="36">
        <f>$C$25</f>
        <v>7</v>
      </c>
      <c r="AE17" s="2">
        <f t="shared" si="18"/>
        <v>3</v>
      </c>
      <c r="AF17" s="13">
        <f t="shared" si="19"/>
        <v>12</v>
      </c>
      <c r="AG17" s="16">
        <v>6</v>
      </c>
      <c r="AH17" s="2">
        <f t="shared" si="20"/>
        <v>2</v>
      </c>
      <c r="AI17" s="13">
        <f t="shared" si="21"/>
        <v>14</v>
      </c>
      <c r="AJ17" s="36">
        <f>$C$25</f>
        <v>7</v>
      </c>
      <c r="AK17" s="2">
        <f t="shared" si="22"/>
        <v>3</v>
      </c>
      <c r="AL17" s="13">
        <f t="shared" si="23"/>
        <v>17</v>
      </c>
      <c r="AM17" s="16">
        <v>4</v>
      </c>
      <c r="AN17" s="2">
        <f t="shared" si="24"/>
        <v>0</v>
      </c>
      <c r="AO17" s="13">
        <f t="shared" si="25"/>
        <v>17</v>
      </c>
      <c r="AP17" s="16">
        <v>4</v>
      </c>
      <c r="AQ17" s="2">
        <f t="shared" si="26"/>
        <v>0</v>
      </c>
      <c r="AR17" s="13">
        <f t="shared" si="27"/>
        <v>17</v>
      </c>
      <c r="AS17" s="16">
        <v>4</v>
      </c>
      <c r="AT17" s="2">
        <f t="shared" si="28"/>
        <v>0</v>
      </c>
      <c r="AU17" s="13">
        <f t="shared" si="29"/>
        <v>17</v>
      </c>
      <c r="AV17" s="16">
        <v>2</v>
      </c>
      <c r="AW17" s="2">
        <f t="shared" si="30"/>
        <v>-2</v>
      </c>
      <c r="AX17" s="13">
        <f t="shared" si="31"/>
        <v>15</v>
      </c>
      <c r="AY17" s="36">
        <f>$C$25</f>
        <v>7</v>
      </c>
      <c r="AZ17" s="2">
        <f t="shared" si="32"/>
        <v>3</v>
      </c>
      <c r="BA17" s="13">
        <f t="shared" si="36"/>
        <v>18</v>
      </c>
      <c r="BB17" s="16">
        <v>4</v>
      </c>
      <c r="BC17" s="2">
        <f t="shared" si="33"/>
        <v>0</v>
      </c>
      <c r="BD17" s="13">
        <f t="shared" si="34"/>
        <v>18</v>
      </c>
      <c r="BF17" t="s">
        <v>56</v>
      </c>
      <c r="BG17" t="s">
        <v>57</v>
      </c>
      <c r="BH17" s="13">
        <v>18</v>
      </c>
      <c r="BI17" s="2">
        <v>14</v>
      </c>
      <c r="BJ17" t="s">
        <v>46</v>
      </c>
      <c r="BK17" t="s">
        <v>47</v>
      </c>
      <c r="BL17" s="13">
        <v>5</v>
      </c>
      <c r="BM17" s="1"/>
    </row>
    <row r="18" spans="1:65" x14ac:dyDescent="0.25">
      <c r="A18" t="s">
        <v>21</v>
      </c>
      <c r="B18" t="s">
        <v>22</v>
      </c>
      <c r="C18" s="16">
        <v>6</v>
      </c>
      <c r="D18" s="2">
        <f t="shared" si="35"/>
        <v>2</v>
      </c>
      <c r="E18" s="13">
        <f t="shared" si="1"/>
        <v>2</v>
      </c>
      <c r="F18" s="16">
        <v>4</v>
      </c>
      <c r="G18" s="2">
        <f t="shared" si="2"/>
        <v>0</v>
      </c>
      <c r="H18" s="13">
        <f t="shared" si="3"/>
        <v>2</v>
      </c>
      <c r="I18" s="16">
        <v>5</v>
      </c>
      <c r="J18" s="2">
        <f t="shared" si="4"/>
        <v>1</v>
      </c>
      <c r="K18" s="13">
        <f t="shared" si="5"/>
        <v>3</v>
      </c>
      <c r="L18" s="16">
        <v>5</v>
      </c>
      <c r="M18" s="2">
        <f t="shared" si="6"/>
        <v>1</v>
      </c>
      <c r="N18" s="13">
        <f t="shared" si="7"/>
        <v>4</v>
      </c>
      <c r="O18" s="16">
        <v>6</v>
      </c>
      <c r="P18" s="2">
        <f t="shared" si="8"/>
        <v>2</v>
      </c>
      <c r="Q18" s="13">
        <f t="shared" si="9"/>
        <v>6</v>
      </c>
      <c r="R18" s="16">
        <v>5</v>
      </c>
      <c r="S18" s="2">
        <f t="shared" si="10"/>
        <v>1</v>
      </c>
      <c r="T18" s="13">
        <f t="shared" si="11"/>
        <v>7</v>
      </c>
      <c r="U18" s="16">
        <v>3</v>
      </c>
      <c r="V18" s="2">
        <f t="shared" si="12"/>
        <v>-1</v>
      </c>
      <c r="W18" s="13">
        <f t="shared" si="13"/>
        <v>6</v>
      </c>
      <c r="X18" s="16">
        <v>3</v>
      </c>
      <c r="Y18" s="2">
        <f t="shared" si="14"/>
        <v>-1</v>
      </c>
      <c r="Z18" s="13">
        <f t="shared" si="15"/>
        <v>5</v>
      </c>
      <c r="AA18" s="16">
        <v>5</v>
      </c>
      <c r="AB18" s="2">
        <f t="shared" si="16"/>
        <v>1</v>
      </c>
      <c r="AC18" s="13">
        <f t="shared" si="17"/>
        <v>6</v>
      </c>
      <c r="AD18" s="16">
        <v>3</v>
      </c>
      <c r="AE18" s="2">
        <f t="shared" si="18"/>
        <v>-1</v>
      </c>
      <c r="AF18" s="13">
        <f t="shared" si="19"/>
        <v>5</v>
      </c>
      <c r="AG18" s="8">
        <f>$C$26</f>
        <v>7</v>
      </c>
      <c r="AH18" s="2">
        <f t="shared" si="20"/>
        <v>3</v>
      </c>
      <c r="AI18" s="13">
        <f t="shared" si="21"/>
        <v>8</v>
      </c>
      <c r="AJ18" s="16">
        <v>6</v>
      </c>
      <c r="AK18" s="2">
        <f t="shared" si="22"/>
        <v>2</v>
      </c>
      <c r="AL18" s="13">
        <f t="shared" si="23"/>
        <v>10</v>
      </c>
      <c r="AM18" s="16">
        <v>3</v>
      </c>
      <c r="AN18" s="2">
        <f t="shared" si="24"/>
        <v>-1</v>
      </c>
      <c r="AO18" s="13">
        <f t="shared" si="25"/>
        <v>9</v>
      </c>
      <c r="AP18" s="16">
        <v>4</v>
      </c>
      <c r="AQ18" s="2">
        <f t="shared" si="26"/>
        <v>0</v>
      </c>
      <c r="AR18" s="13">
        <f t="shared" si="27"/>
        <v>9</v>
      </c>
      <c r="AS18" s="16">
        <v>3</v>
      </c>
      <c r="AT18" s="2">
        <f t="shared" si="28"/>
        <v>-1</v>
      </c>
      <c r="AU18" s="13">
        <f t="shared" si="29"/>
        <v>8</v>
      </c>
      <c r="AV18" s="16">
        <v>4</v>
      </c>
      <c r="AW18" s="2">
        <f t="shared" si="30"/>
        <v>0</v>
      </c>
      <c r="AX18" s="13">
        <f t="shared" si="31"/>
        <v>8</v>
      </c>
      <c r="AY18" s="16">
        <v>4</v>
      </c>
      <c r="AZ18" s="2">
        <f t="shared" si="32"/>
        <v>0</v>
      </c>
      <c r="BA18" s="13">
        <f t="shared" si="36"/>
        <v>8</v>
      </c>
      <c r="BB18" s="16">
        <v>6</v>
      </c>
      <c r="BC18" s="2">
        <f t="shared" si="33"/>
        <v>2</v>
      </c>
      <c r="BD18" s="13">
        <f t="shared" si="34"/>
        <v>10</v>
      </c>
      <c r="BF18" t="s">
        <v>21</v>
      </c>
      <c r="BG18" t="s">
        <v>22</v>
      </c>
      <c r="BH18" s="13">
        <v>10</v>
      </c>
      <c r="BI18" s="2">
        <v>15</v>
      </c>
      <c r="BJ18" t="s">
        <v>13</v>
      </c>
      <c r="BK18" t="s">
        <v>14</v>
      </c>
      <c r="BL18" s="13">
        <v>8</v>
      </c>
      <c r="BM18" s="1"/>
    </row>
    <row r="19" spans="1:65" x14ac:dyDescent="0.25">
      <c r="A19" t="s">
        <v>21</v>
      </c>
      <c r="B19" t="s">
        <v>31</v>
      </c>
      <c r="C19" s="16">
        <v>3</v>
      </c>
      <c r="D19" s="2">
        <f t="shared" si="35"/>
        <v>-1</v>
      </c>
      <c r="E19" s="13">
        <f t="shared" si="1"/>
        <v>-1</v>
      </c>
      <c r="F19" s="16">
        <v>3</v>
      </c>
      <c r="G19" s="2">
        <f t="shared" si="2"/>
        <v>-1</v>
      </c>
      <c r="H19" s="13">
        <f t="shared" si="3"/>
        <v>-2</v>
      </c>
      <c r="I19" s="16">
        <v>2</v>
      </c>
      <c r="J19" s="2">
        <f t="shared" si="4"/>
        <v>-2</v>
      </c>
      <c r="K19" s="13">
        <f t="shared" si="5"/>
        <v>-4</v>
      </c>
      <c r="L19" s="16">
        <v>3</v>
      </c>
      <c r="M19" s="2">
        <f t="shared" si="6"/>
        <v>-1</v>
      </c>
      <c r="N19" s="13">
        <f t="shared" si="7"/>
        <v>-5</v>
      </c>
      <c r="O19" s="16">
        <v>4</v>
      </c>
      <c r="P19" s="2">
        <f t="shared" si="8"/>
        <v>0</v>
      </c>
      <c r="Q19" s="13">
        <f t="shared" si="9"/>
        <v>-5</v>
      </c>
      <c r="R19" s="16">
        <v>3</v>
      </c>
      <c r="S19" s="2">
        <f t="shared" si="10"/>
        <v>-1</v>
      </c>
      <c r="T19" s="13">
        <f t="shared" si="11"/>
        <v>-6</v>
      </c>
      <c r="U19" s="16">
        <v>4</v>
      </c>
      <c r="V19" s="2">
        <f t="shared" si="12"/>
        <v>0</v>
      </c>
      <c r="W19" s="13">
        <f t="shared" si="13"/>
        <v>-6</v>
      </c>
      <c r="X19" s="16">
        <v>3</v>
      </c>
      <c r="Y19" s="2">
        <f t="shared" si="14"/>
        <v>-1</v>
      </c>
      <c r="Z19" s="13">
        <f t="shared" si="15"/>
        <v>-7</v>
      </c>
      <c r="AA19" s="16">
        <v>4</v>
      </c>
      <c r="AB19" s="2">
        <f t="shared" si="16"/>
        <v>0</v>
      </c>
      <c r="AC19" s="13">
        <f t="shared" si="17"/>
        <v>-7</v>
      </c>
      <c r="AD19" s="16">
        <v>3</v>
      </c>
      <c r="AE19" s="2">
        <f t="shared" si="18"/>
        <v>-1</v>
      </c>
      <c r="AF19" s="13">
        <f t="shared" si="19"/>
        <v>-8</v>
      </c>
      <c r="AG19" s="16">
        <v>3</v>
      </c>
      <c r="AH19" s="2">
        <f t="shared" si="20"/>
        <v>-1</v>
      </c>
      <c r="AI19" s="13">
        <f t="shared" si="21"/>
        <v>-9</v>
      </c>
      <c r="AJ19" s="16">
        <v>4</v>
      </c>
      <c r="AK19" s="2">
        <f t="shared" si="22"/>
        <v>0</v>
      </c>
      <c r="AL19" s="13">
        <f t="shared" si="23"/>
        <v>-9</v>
      </c>
      <c r="AM19" s="16">
        <v>3</v>
      </c>
      <c r="AN19" s="2">
        <f t="shared" si="24"/>
        <v>-1</v>
      </c>
      <c r="AO19" s="13">
        <f t="shared" si="25"/>
        <v>-10</v>
      </c>
      <c r="AP19" s="16">
        <v>3</v>
      </c>
      <c r="AQ19" s="2">
        <f t="shared" si="26"/>
        <v>-1</v>
      </c>
      <c r="AR19" s="13">
        <f t="shared" si="27"/>
        <v>-11</v>
      </c>
      <c r="AS19" s="16">
        <v>4</v>
      </c>
      <c r="AT19" s="2">
        <f t="shared" si="28"/>
        <v>0</v>
      </c>
      <c r="AU19" s="13">
        <f t="shared" si="29"/>
        <v>-11</v>
      </c>
      <c r="AV19" s="16">
        <v>3</v>
      </c>
      <c r="AW19" s="2">
        <f t="shared" si="30"/>
        <v>-1</v>
      </c>
      <c r="AX19" s="13">
        <f t="shared" si="31"/>
        <v>-12</v>
      </c>
      <c r="AY19" s="16">
        <v>3</v>
      </c>
      <c r="AZ19" s="2">
        <f t="shared" si="32"/>
        <v>-1</v>
      </c>
      <c r="BA19" s="13">
        <f t="shared" si="36"/>
        <v>-13</v>
      </c>
      <c r="BB19" s="16">
        <v>2</v>
      </c>
      <c r="BC19" s="2">
        <f t="shared" si="33"/>
        <v>-2</v>
      </c>
      <c r="BD19" s="13">
        <f t="shared" si="34"/>
        <v>-15</v>
      </c>
      <c r="BF19" t="s">
        <v>21</v>
      </c>
      <c r="BG19" t="s">
        <v>31</v>
      </c>
      <c r="BH19" s="13">
        <v>-15</v>
      </c>
      <c r="BI19" s="2">
        <v>16</v>
      </c>
      <c r="BJ19" t="s">
        <v>21</v>
      </c>
      <c r="BK19" t="s">
        <v>22</v>
      </c>
      <c r="BL19" s="13">
        <v>10</v>
      </c>
      <c r="BM19" s="1"/>
    </row>
    <row r="20" spans="1:65" x14ac:dyDescent="0.25">
      <c r="A20" t="s">
        <v>23</v>
      </c>
      <c r="B20" t="s">
        <v>24</v>
      </c>
      <c r="C20" s="16">
        <v>6</v>
      </c>
      <c r="D20" s="2">
        <f t="shared" si="35"/>
        <v>2</v>
      </c>
      <c r="E20" s="13">
        <f t="shared" si="1"/>
        <v>2</v>
      </c>
      <c r="F20" s="16">
        <v>3</v>
      </c>
      <c r="G20" s="2">
        <f t="shared" si="2"/>
        <v>-1</v>
      </c>
      <c r="H20" s="13">
        <f t="shared" si="3"/>
        <v>1</v>
      </c>
      <c r="I20" s="16">
        <v>5</v>
      </c>
      <c r="J20" s="2">
        <f t="shared" si="4"/>
        <v>1</v>
      </c>
      <c r="K20" s="13">
        <f t="shared" si="5"/>
        <v>2</v>
      </c>
      <c r="L20" s="16">
        <v>3</v>
      </c>
      <c r="M20" s="2">
        <f t="shared" si="6"/>
        <v>-1</v>
      </c>
      <c r="N20" s="13">
        <f t="shared" si="7"/>
        <v>1</v>
      </c>
      <c r="O20" s="16">
        <v>4</v>
      </c>
      <c r="P20" s="2">
        <f t="shared" si="8"/>
        <v>0</v>
      </c>
      <c r="Q20" s="13">
        <f t="shared" si="9"/>
        <v>1</v>
      </c>
      <c r="R20" s="16">
        <v>4</v>
      </c>
      <c r="S20" s="2">
        <f t="shared" si="10"/>
        <v>0</v>
      </c>
      <c r="T20" s="13">
        <f t="shared" si="11"/>
        <v>1</v>
      </c>
      <c r="U20" s="16">
        <v>4</v>
      </c>
      <c r="V20" s="2">
        <f t="shared" si="12"/>
        <v>0</v>
      </c>
      <c r="W20" s="13">
        <f t="shared" si="13"/>
        <v>1</v>
      </c>
      <c r="X20" s="16">
        <v>5</v>
      </c>
      <c r="Y20" s="2">
        <f t="shared" si="14"/>
        <v>1</v>
      </c>
      <c r="Z20" s="13">
        <f t="shared" si="15"/>
        <v>2</v>
      </c>
      <c r="AA20" s="16">
        <v>4</v>
      </c>
      <c r="AB20" s="2">
        <f t="shared" si="16"/>
        <v>0</v>
      </c>
      <c r="AC20" s="13">
        <f t="shared" si="17"/>
        <v>2</v>
      </c>
      <c r="AD20" s="16">
        <v>3</v>
      </c>
      <c r="AE20" s="2">
        <f t="shared" si="18"/>
        <v>-1</v>
      </c>
      <c r="AF20" s="13">
        <f t="shared" si="19"/>
        <v>1</v>
      </c>
      <c r="AG20" s="16">
        <v>4</v>
      </c>
      <c r="AH20" s="2">
        <f t="shared" si="20"/>
        <v>0</v>
      </c>
      <c r="AI20" s="13">
        <f t="shared" si="21"/>
        <v>1</v>
      </c>
      <c r="AJ20" s="16">
        <v>4</v>
      </c>
      <c r="AK20" s="2">
        <f t="shared" si="22"/>
        <v>0</v>
      </c>
      <c r="AL20" s="13">
        <f t="shared" si="23"/>
        <v>1</v>
      </c>
      <c r="AM20" s="16">
        <v>5</v>
      </c>
      <c r="AN20" s="2">
        <f t="shared" si="24"/>
        <v>1</v>
      </c>
      <c r="AO20" s="13">
        <f t="shared" si="25"/>
        <v>2</v>
      </c>
      <c r="AP20" s="16">
        <v>5</v>
      </c>
      <c r="AQ20" s="2">
        <f t="shared" si="26"/>
        <v>1</v>
      </c>
      <c r="AR20" s="13">
        <f t="shared" si="27"/>
        <v>3</v>
      </c>
      <c r="AS20" s="16">
        <v>4</v>
      </c>
      <c r="AT20" s="2">
        <f t="shared" si="28"/>
        <v>0</v>
      </c>
      <c r="AU20" s="13">
        <f t="shared" si="29"/>
        <v>3</v>
      </c>
      <c r="AV20" s="16">
        <v>3</v>
      </c>
      <c r="AW20" s="2">
        <f t="shared" si="30"/>
        <v>-1</v>
      </c>
      <c r="AX20" s="13">
        <f t="shared" si="31"/>
        <v>2</v>
      </c>
      <c r="AY20" s="16">
        <v>5</v>
      </c>
      <c r="AZ20" s="2">
        <f t="shared" si="32"/>
        <v>1</v>
      </c>
      <c r="BA20" s="13">
        <f t="shared" si="36"/>
        <v>3</v>
      </c>
      <c r="BB20" s="16">
        <v>2</v>
      </c>
      <c r="BC20" s="2">
        <f t="shared" si="33"/>
        <v>-2</v>
      </c>
      <c r="BD20" s="13">
        <f t="shared" si="34"/>
        <v>1</v>
      </c>
      <c r="BF20" t="s">
        <v>23</v>
      </c>
      <c r="BG20" t="s">
        <v>24</v>
      </c>
      <c r="BH20" s="13">
        <v>1</v>
      </c>
      <c r="BI20" s="2">
        <v>17</v>
      </c>
      <c r="BJ20" t="s">
        <v>36</v>
      </c>
      <c r="BK20" t="s">
        <v>37</v>
      </c>
      <c r="BL20" s="13">
        <v>12</v>
      </c>
      <c r="BM20" s="1"/>
    </row>
    <row r="21" spans="1:65" x14ac:dyDescent="0.25">
      <c r="A21" t="s">
        <v>48</v>
      </c>
      <c r="B21" t="s">
        <v>49</v>
      </c>
      <c r="C21" s="16">
        <v>4</v>
      </c>
      <c r="D21" s="2">
        <f t="shared" si="35"/>
        <v>0</v>
      </c>
      <c r="E21" s="13">
        <f t="shared" si="1"/>
        <v>0</v>
      </c>
      <c r="F21" s="17">
        <v>3</v>
      </c>
      <c r="G21" s="2">
        <f t="shared" si="2"/>
        <v>-1</v>
      </c>
      <c r="H21" s="13">
        <f t="shared" si="3"/>
        <v>-1</v>
      </c>
      <c r="I21" s="17">
        <v>2</v>
      </c>
      <c r="J21" s="2">
        <f t="shared" si="4"/>
        <v>-2</v>
      </c>
      <c r="K21" s="13">
        <f t="shared" si="5"/>
        <v>-3</v>
      </c>
      <c r="L21" s="17">
        <v>4</v>
      </c>
      <c r="M21" s="2">
        <f t="shared" si="6"/>
        <v>0</v>
      </c>
      <c r="N21" s="13">
        <f t="shared" si="7"/>
        <v>-3</v>
      </c>
      <c r="O21" s="17">
        <v>4</v>
      </c>
      <c r="P21" s="2">
        <f t="shared" si="8"/>
        <v>0</v>
      </c>
      <c r="Q21" s="13">
        <f t="shared" si="9"/>
        <v>-3</v>
      </c>
      <c r="R21" s="17">
        <v>3</v>
      </c>
      <c r="S21" s="2">
        <f t="shared" si="10"/>
        <v>-1</v>
      </c>
      <c r="T21" s="13">
        <f t="shared" si="11"/>
        <v>-4</v>
      </c>
      <c r="U21" s="16">
        <v>3</v>
      </c>
      <c r="V21" s="2">
        <f t="shared" si="12"/>
        <v>-1</v>
      </c>
      <c r="W21" s="13">
        <f t="shared" si="13"/>
        <v>-5</v>
      </c>
      <c r="X21" s="16">
        <v>4</v>
      </c>
      <c r="Y21" s="2">
        <f t="shared" si="14"/>
        <v>0</v>
      </c>
      <c r="Z21" s="13">
        <f t="shared" si="15"/>
        <v>-5</v>
      </c>
      <c r="AA21" s="16">
        <v>4</v>
      </c>
      <c r="AB21" s="2">
        <f t="shared" si="16"/>
        <v>0</v>
      </c>
      <c r="AC21" s="13">
        <f t="shared" si="17"/>
        <v>-5</v>
      </c>
      <c r="AD21" s="16">
        <v>4</v>
      </c>
      <c r="AE21" s="2">
        <f t="shared" si="18"/>
        <v>0</v>
      </c>
      <c r="AF21" s="13">
        <f t="shared" si="19"/>
        <v>-5</v>
      </c>
      <c r="AG21" s="8">
        <f>$C$26</f>
        <v>7</v>
      </c>
      <c r="AH21" s="2">
        <f t="shared" si="20"/>
        <v>3</v>
      </c>
      <c r="AI21" s="13">
        <f t="shared" si="21"/>
        <v>-2</v>
      </c>
      <c r="AJ21" s="16">
        <v>4</v>
      </c>
      <c r="AK21" s="2">
        <f t="shared" si="22"/>
        <v>0</v>
      </c>
      <c r="AL21" s="13">
        <f t="shared" si="23"/>
        <v>-2</v>
      </c>
      <c r="AM21" s="16">
        <v>5</v>
      </c>
      <c r="AN21" s="2">
        <f t="shared" si="24"/>
        <v>1</v>
      </c>
      <c r="AO21" s="13">
        <f t="shared" si="25"/>
        <v>-1</v>
      </c>
      <c r="AP21" s="16">
        <v>2</v>
      </c>
      <c r="AQ21" s="2">
        <f t="shared" si="26"/>
        <v>-2</v>
      </c>
      <c r="AR21" s="13">
        <f t="shared" si="27"/>
        <v>-3</v>
      </c>
      <c r="AS21" s="16">
        <v>3</v>
      </c>
      <c r="AT21" s="2">
        <f t="shared" si="28"/>
        <v>-1</v>
      </c>
      <c r="AU21" s="13">
        <f t="shared" si="29"/>
        <v>-4</v>
      </c>
      <c r="AV21" s="16">
        <v>4</v>
      </c>
      <c r="AW21" s="2">
        <f t="shared" si="30"/>
        <v>0</v>
      </c>
      <c r="AX21" s="13">
        <f t="shared" si="31"/>
        <v>-4</v>
      </c>
      <c r="AY21" s="16">
        <v>3</v>
      </c>
      <c r="AZ21" s="2">
        <f t="shared" si="32"/>
        <v>-1</v>
      </c>
      <c r="BA21" s="13">
        <f t="shared" si="36"/>
        <v>-5</v>
      </c>
      <c r="BB21" s="16">
        <v>4</v>
      </c>
      <c r="BC21" s="2">
        <f t="shared" si="33"/>
        <v>0</v>
      </c>
      <c r="BD21" s="13">
        <f t="shared" si="34"/>
        <v>-5</v>
      </c>
      <c r="BF21" t="s">
        <v>48</v>
      </c>
      <c r="BG21" t="s">
        <v>49</v>
      </c>
      <c r="BH21" s="13">
        <v>-5</v>
      </c>
      <c r="BI21" s="2">
        <v>18</v>
      </c>
      <c r="BJ21" t="s">
        <v>56</v>
      </c>
      <c r="BK21" t="s">
        <v>57</v>
      </c>
      <c r="BL21" s="13">
        <v>18</v>
      </c>
      <c r="BM21" s="1"/>
    </row>
    <row r="22" spans="1:65" x14ac:dyDescent="0.25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65" x14ac:dyDescent="0.25">
      <c r="B23" t="s">
        <v>25</v>
      </c>
      <c r="C23" s="18">
        <f>IF(COUNT(C20:C21)&gt;0,AVERAGE(C4:C21),"")</f>
        <v>4.7222222222222223</v>
      </c>
      <c r="D23" s="3"/>
      <c r="E23" s="3"/>
      <c r="F23" s="18">
        <f>IF(COUNT(F20:F21)&gt;0,AVERAGE(F4:F21),"")</f>
        <v>3.4444444444444446</v>
      </c>
      <c r="G23" s="3"/>
      <c r="H23" s="3"/>
      <c r="I23" s="18">
        <f>IF(COUNT(I20:I21)&gt;0,AVERAGE(I4:I21),"")</f>
        <v>4.666666666666667</v>
      </c>
      <c r="J23" s="3"/>
      <c r="K23" s="3"/>
      <c r="L23" s="18">
        <f>IF(COUNT(L20:L21)&gt;0,AVERAGE(L4:L21),"")</f>
        <v>3.8333333333333335</v>
      </c>
      <c r="M23" s="3"/>
      <c r="N23" s="3"/>
      <c r="O23" s="18">
        <f>IF(COUNT(O20:O21)&gt;0,AVERAGE(O4:O21),"")</f>
        <v>4.666666666666667</v>
      </c>
      <c r="P23" s="3"/>
      <c r="Q23" s="3"/>
      <c r="R23" s="18">
        <f>IF(COUNT(R20:R21)&gt;0,AVERAGE(R4:R21),"")</f>
        <v>4.5555555555555554</v>
      </c>
      <c r="S23" s="3"/>
      <c r="T23" s="3"/>
      <c r="U23" s="18">
        <f>IF(COUNT(U20:U21)&gt;0,AVERAGE(U4:U21),"")</f>
        <v>4.333333333333333</v>
      </c>
      <c r="V23" s="3"/>
      <c r="W23" s="3"/>
      <c r="X23" s="18">
        <f>IF(COUNT(X20:X21)&gt;0,AVERAGE(X4:X21),"")</f>
        <v>4.666666666666667</v>
      </c>
      <c r="Y23" s="3"/>
      <c r="Z23" s="3"/>
      <c r="AA23" s="18">
        <f>IF(COUNT(AA20:AA21)&gt;0,AVERAGE(AA4:AA21),"")</f>
        <v>4.8888888888888893</v>
      </c>
      <c r="AB23" s="3"/>
      <c r="AC23" s="3"/>
      <c r="AD23" s="18">
        <f>IF(COUNT(AD20:AD21)&gt;0,AVERAGE(AD4:AD21),"")</f>
        <v>3.8333333333333335</v>
      </c>
      <c r="AE23" s="3"/>
      <c r="AF23" s="3"/>
      <c r="AG23" s="18">
        <f>IF(COUNT(AG20:AG21)&gt;0,AVERAGE(AG4:AG21),"")</f>
        <v>4.6111111111111107</v>
      </c>
      <c r="AH23" s="3"/>
      <c r="AI23" s="3"/>
      <c r="AJ23" s="18">
        <f>IF(COUNT(AJ20:AJ21)&gt;0,AVERAGE(AJ4:AJ21),"")</f>
        <v>4.5555555555555554</v>
      </c>
      <c r="AK23" s="3"/>
      <c r="AL23" s="3"/>
      <c r="AM23" s="18">
        <f>IF(COUNT(AM20:AM21)&gt;0,AVERAGE(AM4:AM21),"")</f>
        <v>3.6111111111111112</v>
      </c>
      <c r="AN23" s="18"/>
      <c r="AO23" s="18"/>
      <c r="AP23" s="18">
        <f>IF(COUNT(AP20:AP21)&gt;0,AVERAGE(AP4:AP21),"")</f>
        <v>3.7777777777777777</v>
      </c>
      <c r="AQ23" s="18"/>
      <c r="AR23" s="18"/>
      <c r="AS23" s="18">
        <f>IF(COUNT(AS20:AS21)&gt;0,AVERAGE(AS4:AS21),"")</f>
        <v>3.6111111111111112</v>
      </c>
      <c r="AT23" s="18"/>
      <c r="AU23" s="18"/>
      <c r="AV23" s="18">
        <f>IF(COUNT(AV20:AV21)&gt;0,AVERAGE(AV4:AV21),"")</f>
        <v>3.2222222222222223</v>
      </c>
      <c r="AW23" s="18"/>
      <c r="AX23" s="18"/>
      <c r="AY23" s="18">
        <f>IF(COUNT(AY20:AY21)&gt;0,AVERAGE(AY4:AY21),"")</f>
        <v>3.6111111111111112</v>
      </c>
      <c r="AZ23" s="18"/>
      <c r="BA23" s="18"/>
      <c r="BB23" s="18">
        <f>IF(COUNT(BB20:BB21)&gt;0,AVERAGE(BB4:BB21),"")</f>
        <v>3.7222222222222223</v>
      </c>
      <c r="BC23" s="18"/>
      <c r="BD23" s="18"/>
    </row>
    <row r="25" spans="1:65" x14ac:dyDescent="0.25">
      <c r="C25" s="6">
        <v>7</v>
      </c>
      <c r="D25" s="7" t="s">
        <v>26</v>
      </c>
      <c r="E25" s="7"/>
      <c r="G25" s="7"/>
      <c r="H25" s="7"/>
    </row>
    <row r="26" spans="1:65" x14ac:dyDescent="0.25">
      <c r="C26" s="8">
        <v>7</v>
      </c>
      <c r="D26" s="7" t="s">
        <v>27</v>
      </c>
      <c r="E26" s="7"/>
      <c r="G26" s="7"/>
      <c r="H26" s="7"/>
    </row>
    <row r="27" spans="1:65" x14ac:dyDescent="0.25">
      <c r="C27" s="28">
        <v>7</v>
      </c>
      <c r="D27" s="7" t="s">
        <v>58</v>
      </c>
    </row>
    <row r="29" spans="1:65" x14ac:dyDescent="0.2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65" x14ac:dyDescent="0.25"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65" x14ac:dyDescent="0.25">
      <c r="B31" s="9"/>
    </row>
    <row r="32" spans="1:65" x14ac:dyDescent="0.25">
      <c r="B32" s="9"/>
    </row>
    <row r="55" spans="3:56" x14ac:dyDescent="0.2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/>
      <c r="BD55"/>
    </row>
    <row r="56" spans="3:56" x14ac:dyDescent="0.25">
      <c r="C56" s="10"/>
      <c r="D56" s="10"/>
      <c r="E56" s="1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3:56" x14ac:dyDescent="0.25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3:56" x14ac:dyDescent="0.25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3:56" x14ac:dyDescent="0.25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3:56" x14ac:dyDescent="0.25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2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2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25"/>
  </sheetData>
  <sortState xmlns:xlrd2="http://schemas.microsoft.com/office/spreadsheetml/2017/richdata2" ref="BJ4:BL21">
    <sortCondition ref="BL4:BL21"/>
    <sortCondition ref="BJ4:BJ21"/>
    <sortCondition ref="BK4:BK21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0A00-8DE4-4DF1-84C7-3F4BBD85B300}">
  <sheetPr codeName="Sheet9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52">
        <v>44904</v>
      </c>
      <c r="D1" s="53"/>
      <c r="E1" s="54"/>
      <c r="F1" s="52">
        <f>C1+1</f>
        <v>44905</v>
      </c>
      <c r="G1" s="53"/>
      <c r="H1" s="54"/>
      <c r="I1" s="52">
        <f>F1+1</f>
        <v>44906</v>
      </c>
      <c r="J1" s="53"/>
      <c r="K1" s="54"/>
      <c r="L1" s="52">
        <f>I1+1</f>
        <v>44907</v>
      </c>
      <c r="M1" s="53"/>
      <c r="N1" s="54"/>
      <c r="O1" s="52">
        <f>L1+1</f>
        <v>44908</v>
      </c>
      <c r="P1" s="53"/>
      <c r="Q1" s="54"/>
      <c r="R1" s="52">
        <f>O1+1</f>
        <v>44909</v>
      </c>
      <c r="S1" s="53"/>
      <c r="T1" s="54"/>
      <c r="U1" s="52">
        <f>R1+1</f>
        <v>44910</v>
      </c>
      <c r="V1" s="53"/>
      <c r="W1" s="54"/>
      <c r="X1" s="52">
        <f>U1+1</f>
        <v>44911</v>
      </c>
      <c r="Y1" s="53"/>
      <c r="Z1" s="54"/>
      <c r="AA1" s="52">
        <f>X1+1</f>
        <v>44912</v>
      </c>
      <c r="AB1" s="53"/>
      <c r="AC1" s="54"/>
      <c r="AD1" s="52">
        <f>AA1+1</f>
        <v>44913</v>
      </c>
      <c r="AE1" s="53"/>
      <c r="AF1" s="54"/>
      <c r="AG1" s="52">
        <f>AD1+1</f>
        <v>44914</v>
      </c>
      <c r="AH1" s="53"/>
      <c r="AI1" s="54"/>
      <c r="AJ1" s="52">
        <f>AG1+1</f>
        <v>44915</v>
      </c>
      <c r="AK1" s="53"/>
      <c r="AL1" s="54"/>
      <c r="AM1" s="52">
        <f>AJ1+1</f>
        <v>44916</v>
      </c>
      <c r="AN1" s="53"/>
      <c r="AO1" s="54"/>
      <c r="AP1" s="52">
        <f>AM1+1</f>
        <v>44917</v>
      </c>
      <c r="AQ1" s="53"/>
      <c r="AR1" s="54"/>
      <c r="AS1" s="52">
        <f>AP1+1</f>
        <v>44918</v>
      </c>
      <c r="AT1" s="53"/>
      <c r="AU1" s="54"/>
      <c r="AV1" s="52">
        <f>AS1+1</f>
        <v>44919</v>
      </c>
      <c r="AW1" s="53"/>
      <c r="AX1" s="54"/>
      <c r="AY1" s="52">
        <f>AV1+1</f>
        <v>44920</v>
      </c>
      <c r="AZ1" s="53"/>
      <c r="BA1" s="54"/>
      <c r="BB1" s="52">
        <f>AY1+1</f>
        <v>44921</v>
      </c>
      <c r="BC1" s="53"/>
      <c r="BD1" s="54"/>
    </row>
    <row r="2" spans="1:70" x14ac:dyDescent="0.25">
      <c r="B2" s="9" t="s">
        <v>1</v>
      </c>
      <c r="C2" s="49">
        <v>538</v>
      </c>
      <c r="D2" s="50"/>
      <c r="E2" s="51"/>
      <c r="F2" s="49">
        <f>C2+1</f>
        <v>539</v>
      </c>
      <c r="G2" s="50"/>
      <c r="H2" s="51"/>
      <c r="I2" s="49">
        <f>F2+1</f>
        <v>540</v>
      </c>
      <c r="J2" s="50"/>
      <c r="K2" s="51"/>
      <c r="L2" s="49">
        <f>I2+1</f>
        <v>541</v>
      </c>
      <c r="M2" s="50"/>
      <c r="N2" s="51"/>
      <c r="O2" s="49">
        <f>L2+1</f>
        <v>542</v>
      </c>
      <c r="P2" s="50"/>
      <c r="Q2" s="51"/>
      <c r="R2" s="49">
        <f>O2+1</f>
        <v>543</v>
      </c>
      <c r="S2" s="50"/>
      <c r="T2" s="51"/>
      <c r="U2" s="49">
        <f>R2+1</f>
        <v>544</v>
      </c>
      <c r="V2" s="50"/>
      <c r="W2" s="51"/>
      <c r="X2" s="49">
        <f>U2+1</f>
        <v>545</v>
      </c>
      <c r="Y2" s="50"/>
      <c r="Z2" s="51"/>
      <c r="AA2" s="49">
        <f>X2+1</f>
        <v>546</v>
      </c>
      <c r="AB2" s="50"/>
      <c r="AC2" s="51"/>
      <c r="AD2" s="49">
        <f>AA2+1</f>
        <v>547</v>
      </c>
      <c r="AE2" s="50"/>
      <c r="AF2" s="51"/>
      <c r="AG2" s="49">
        <f>AD2+1</f>
        <v>548</v>
      </c>
      <c r="AH2" s="50"/>
      <c r="AI2" s="51"/>
      <c r="AJ2" s="49">
        <f>AG2+1</f>
        <v>549</v>
      </c>
      <c r="AK2" s="50"/>
      <c r="AL2" s="51"/>
      <c r="AM2" s="49">
        <f>AJ2+1</f>
        <v>550</v>
      </c>
      <c r="AN2" s="50"/>
      <c r="AO2" s="51"/>
      <c r="AP2" s="49">
        <f>AM2+1</f>
        <v>551</v>
      </c>
      <c r="AQ2" s="50"/>
      <c r="AR2" s="51"/>
      <c r="AS2" s="49">
        <f>AP2+1</f>
        <v>552</v>
      </c>
      <c r="AT2" s="50"/>
      <c r="AU2" s="51"/>
      <c r="AV2" s="49">
        <f>AS2+1</f>
        <v>553</v>
      </c>
      <c r="AW2" s="50"/>
      <c r="AX2" s="51"/>
      <c r="AY2" s="49">
        <f>AV2+1</f>
        <v>554</v>
      </c>
      <c r="AZ2" s="50"/>
      <c r="BA2" s="51"/>
      <c r="BB2" s="49">
        <f>AY2+1</f>
        <v>555</v>
      </c>
      <c r="BC2" s="50"/>
      <c r="BD2" s="51"/>
      <c r="BI2" s="5"/>
      <c r="BJ2" s="48" t="s">
        <v>2</v>
      </c>
      <c r="BK2" s="48"/>
      <c r="BL2" s="48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/>
      <c r="D4" s="18" t="str">
        <f>IF(C4&lt;&gt;"",C4-$B$1,"")</f>
        <v/>
      </c>
      <c r="E4" s="24" t="str">
        <f>D4</f>
        <v/>
      </c>
      <c r="F4" s="38"/>
      <c r="G4" s="18" t="str">
        <f>IF(F4&lt;&gt;"",F4-$B$1,"")</f>
        <v/>
      </c>
      <c r="H4" s="13" t="str">
        <f>IF(F4&lt;&gt;"",E4+G4,"")</f>
        <v/>
      </c>
      <c r="I4" s="38"/>
      <c r="J4" s="18" t="str">
        <f>IF(I4&lt;&gt;"",I4-$B$1,"")</f>
        <v/>
      </c>
      <c r="K4" s="13" t="str">
        <f>IF(I4&lt;&gt;"",H4+J4,"")</f>
        <v/>
      </c>
      <c r="L4" s="38"/>
      <c r="M4" s="18" t="str">
        <f>IF(L4&lt;&gt;"",L4-$B$1,"")</f>
        <v/>
      </c>
      <c r="N4" s="13" t="str">
        <f>IF(L4&lt;&gt;"",K4+M4,"")</f>
        <v/>
      </c>
      <c r="O4" s="38"/>
      <c r="P4" s="18" t="str">
        <f>IF(O4&lt;&gt;"",O4-$B$1,"")</f>
        <v/>
      </c>
      <c r="Q4" s="13" t="str">
        <f>IF(O4&lt;&gt;"",N4+P4,"")</f>
        <v/>
      </c>
      <c r="R4" s="38"/>
      <c r="S4" s="18" t="str">
        <f>IF(R4&lt;&gt;"",R4-$B$1,"")</f>
        <v/>
      </c>
      <c r="T4" s="13" t="str">
        <f>IF(R4&lt;&gt;"",Q4+S4,"")</f>
        <v/>
      </c>
      <c r="U4" s="38"/>
      <c r="V4" s="18" t="str">
        <f>IF(U4&lt;&gt;"",U4-$B$1,"")</f>
        <v/>
      </c>
      <c r="W4" s="13" t="str">
        <f>IF(U4&lt;&gt;"",T4+V4,"")</f>
        <v/>
      </c>
      <c r="X4" s="38"/>
      <c r="Y4" s="18" t="str">
        <f>IF(X4&lt;&gt;"",X4-$B$1,"")</f>
        <v/>
      </c>
      <c r="Z4" s="13" t="str">
        <f>IF(X4&lt;&gt;"",W4+Y4,"")</f>
        <v/>
      </c>
      <c r="AA4" s="38"/>
      <c r="AB4" s="18" t="str">
        <f>IF(AA4&lt;&gt;"",AA4-$B$1,"")</f>
        <v/>
      </c>
      <c r="AC4" s="13" t="str">
        <f>IF(AA4&lt;&gt;"",Z4+AB4,"")</f>
        <v/>
      </c>
      <c r="AD4" s="38"/>
      <c r="AE4" s="18" t="str">
        <f>IF(AD4&lt;&gt;"",AD4-$B$1,"")</f>
        <v/>
      </c>
      <c r="AF4" s="13" t="str">
        <f>IF(AD4&lt;&gt;"",AC4+AE4,"")</f>
        <v/>
      </c>
      <c r="AG4" s="38"/>
      <c r="AH4" s="18" t="str">
        <f>IF(AG4&lt;&gt;"",AG4-$B$1,"")</f>
        <v/>
      </c>
      <c r="AI4" s="13" t="str">
        <f>IF(AG4&lt;&gt;"",AF4+AH4,"")</f>
        <v/>
      </c>
      <c r="AJ4" s="38"/>
      <c r="AK4" s="18" t="str">
        <f>IF(AJ4&lt;&gt;"",AJ4-$B$1,"")</f>
        <v/>
      </c>
      <c r="AL4" s="13" t="str">
        <f>IF(AJ4&lt;&gt;"",AI4+AK4,"")</f>
        <v/>
      </c>
      <c r="AM4" s="38"/>
      <c r="AN4" s="18" t="str">
        <f>IF(AM4&lt;&gt;"",AM4-$B$1,"")</f>
        <v/>
      </c>
      <c r="AO4" s="13" t="str">
        <f>IF(AM4&lt;&gt;"",AL4+AN4,"")</f>
        <v/>
      </c>
      <c r="AP4" s="38"/>
      <c r="AQ4" s="18" t="str">
        <f>IF(AP4&lt;&gt;"",AP4-$B$1,"")</f>
        <v/>
      </c>
      <c r="AR4" s="13" t="str">
        <f>IF(AP4&lt;&gt;"",AO4+AQ4,"")</f>
        <v/>
      </c>
      <c r="AS4" s="38"/>
      <c r="AT4" s="18" t="str">
        <f>IF(AS4&lt;&gt;"",AS4-$B$1,"")</f>
        <v/>
      </c>
      <c r="AU4" s="13" t="str">
        <f>IF(AS4&lt;&gt;"",AR4+AT4,"")</f>
        <v/>
      </c>
      <c r="AV4" s="38"/>
      <c r="AW4" s="18" t="str">
        <f>IF(AV4&lt;&gt;"",AV4-$B$1,"")</f>
        <v/>
      </c>
      <c r="AX4" s="13" t="str">
        <f>IF(AV4&lt;&gt;"",AU4+AW4,"")</f>
        <v/>
      </c>
      <c r="AY4" s="38"/>
      <c r="AZ4" s="18" t="str">
        <f>IF(AY4&lt;&gt;"",AY4-$B$1,"")</f>
        <v/>
      </c>
      <c r="BA4" s="13" t="str">
        <f>IF(AY4&lt;&gt;"",AX4+AZ4,"")</f>
        <v/>
      </c>
      <c r="BB4" s="38"/>
      <c r="BC4" s="18" t="str">
        <f>IF(BB4&lt;&gt;"",BB4-$B$1,"")</f>
        <v/>
      </c>
      <c r="BD4" s="13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11</v>
      </c>
      <c r="B5" t="s">
        <v>12</v>
      </c>
      <c r="C5" s="16"/>
      <c r="D5" s="2" t="str">
        <f t="shared" ref="D5:D17" si="0">IF(C5&lt;&gt;"",C5-$B$1,"")</f>
        <v/>
      </c>
      <c r="E5" s="13" t="str">
        <f t="shared" ref="E5:E17" si="1">D5</f>
        <v/>
      </c>
      <c r="F5" s="16"/>
      <c r="G5" s="2" t="str">
        <f t="shared" ref="G5:G17" si="2">IF(F5&lt;&gt;"",F5-$B$1,"")</f>
        <v/>
      </c>
      <c r="H5" s="13" t="str">
        <f t="shared" ref="H5:H17" si="3">IF(F5&lt;&gt;"",E5+G5,"")</f>
        <v/>
      </c>
      <c r="I5" s="16"/>
      <c r="J5" s="2" t="str">
        <f t="shared" ref="J5:J17" si="4">IF(I5&lt;&gt;"",I5-$B$1,"")</f>
        <v/>
      </c>
      <c r="K5" s="13" t="str">
        <f t="shared" ref="K5:K17" si="5">IF(I5&lt;&gt;"",H5+J5,"")</f>
        <v/>
      </c>
      <c r="L5" s="16"/>
      <c r="M5" s="2" t="str">
        <f t="shared" ref="M5:M17" si="6">IF(L5&lt;&gt;"",L5-$B$1,"")</f>
        <v/>
      </c>
      <c r="N5" s="13" t="str">
        <f t="shared" ref="N5:N17" si="7">IF(L5&lt;&gt;"",K5+M5,"")</f>
        <v/>
      </c>
      <c r="O5" s="16"/>
      <c r="P5" s="2" t="str">
        <f t="shared" ref="P5:P17" si="8">IF(O5&lt;&gt;"",O5-$B$1,"")</f>
        <v/>
      </c>
      <c r="Q5" s="13" t="str">
        <f t="shared" ref="Q5:Q17" si="9">IF(O5&lt;&gt;"",N5+P5,"")</f>
        <v/>
      </c>
      <c r="R5" s="16"/>
      <c r="S5" s="2" t="str">
        <f t="shared" ref="S5:S17" si="10">IF(R5&lt;&gt;"",R5-$B$1,"")</f>
        <v/>
      </c>
      <c r="T5" s="13" t="str">
        <f t="shared" ref="T5:T17" si="11">IF(R5&lt;&gt;"",Q5+S5,"")</f>
        <v/>
      </c>
      <c r="U5" s="16"/>
      <c r="V5" s="2" t="str">
        <f t="shared" ref="V5:V17" si="12">IF(U5&lt;&gt;"",U5-$B$1,"")</f>
        <v/>
      </c>
      <c r="W5" s="13" t="str">
        <f t="shared" ref="W5:W17" si="13">IF(U5&lt;&gt;"",T5+V5,"")</f>
        <v/>
      </c>
      <c r="X5" s="16"/>
      <c r="Y5" s="2" t="str">
        <f t="shared" ref="Y5:Y17" si="14">IF(X5&lt;&gt;"",X5-$B$1,"")</f>
        <v/>
      </c>
      <c r="Z5" s="13" t="str">
        <f t="shared" ref="Z5:Z17" si="15">IF(X5&lt;&gt;"",W5+Y5,"")</f>
        <v/>
      </c>
      <c r="AA5" s="16"/>
      <c r="AB5" s="2" t="str">
        <f t="shared" ref="AB5:AB17" si="16">IF(AA5&lt;&gt;"",AA5-$B$1,"")</f>
        <v/>
      </c>
      <c r="AC5" s="13" t="str">
        <f t="shared" ref="AC5:AC17" si="17">IF(AA5&lt;&gt;"",Z5+AB5,"")</f>
        <v/>
      </c>
      <c r="AD5" s="16"/>
      <c r="AE5" s="2" t="str">
        <f t="shared" ref="AE5:AE17" si="18">IF(AD5&lt;&gt;"",AD5-$B$1,"")</f>
        <v/>
      </c>
      <c r="AF5" s="13" t="str">
        <f t="shared" ref="AF5:AF16" si="19">IF(AD5&lt;&gt;"",AC5+AE5,"")</f>
        <v/>
      </c>
      <c r="AG5" s="16"/>
      <c r="AH5" s="2" t="str">
        <f t="shared" ref="AH5:AH17" si="20">IF(AG5&lt;&gt;"",AG5-$B$1,"")</f>
        <v/>
      </c>
      <c r="AI5" s="13" t="str">
        <f t="shared" ref="AI5:AI17" si="21">IF(AG5&lt;&gt;"",AF5+AH5,"")</f>
        <v/>
      </c>
      <c r="AJ5" s="16"/>
      <c r="AK5" s="2" t="str">
        <f t="shared" ref="AK5:AK17" si="22">IF(AJ5&lt;&gt;"",AJ5-$B$1,"")</f>
        <v/>
      </c>
      <c r="AL5" s="13" t="str">
        <f t="shared" ref="AL5:AL17" si="23">IF(AJ5&lt;&gt;"",AI5+AK5,"")</f>
        <v/>
      </c>
      <c r="AM5" s="16"/>
      <c r="AN5" s="2" t="str">
        <f t="shared" ref="AN5:AN17" si="24">IF(AM5&lt;&gt;"",AM5-$B$1,"")</f>
        <v/>
      </c>
      <c r="AO5" s="13" t="str">
        <f t="shared" ref="AO5:AO17" si="25">IF(AM5&lt;&gt;"",AL5+AN5,"")</f>
        <v/>
      </c>
      <c r="AP5" s="16"/>
      <c r="AQ5" s="2" t="str">
        <f t="shared" ref="AQ5:AQ17" si="26">IF(AP5&lt;&gt;"",AP5-$B$1,"")</f>
        <v/>
      </c>
      <c r="AR5" s="13" t="str">
        <f t="shared" ref="AR5:AR16" si="27">IF(AP5&lt;&gt;"",AO5+AQ5,"")</f>
        <v/>
      </c>
      <c r="AS5" s="16"/>
      <c r="AT5" s="2" t="str">
        <f t="shared" ref="AT5:AT16" si="28">IF(AS5&lt;&gt;"",AS5-$B$1,"")</f>
        <v/>
      </c>
      <c r="AU5" s="13" t="str">
        <f>IF(AS5&lt;&gt;"",AR5+AT5,"")</f>
        <v/>
      </c>
      <c r="AV5" s="16"/>
      <c r="AW5" s="2" t="str">
        <f t="shared" ref="AW5:AW17" si="29">IF(AV5&lt;&gt;"",AV5-$B$1,"")</f>
        <v/>
      </c>
      <c r="AX5" s="13" t="str">
        <f t="shared" ref="AX5:AX17" si="30">IF(AV5&lt;&gt;"",AU5+AW5,"")</f>
        <v/>
      </c>
      <c r="AY5" s="16"/>
      <c r="AZ5" s="2" t="str">
        <f t="shared" ref="AZ5:AZ17" si="31">IF(AY5&lt;&gt;"",AY5-$B$1,"")</f>
        <v/>
      </c>
      <c r="BA5" s="13" t="str">
        <f t="shared" ref="BA5:BA17" si="32">IF(AY5&lt;&gt;"",AX5+AZ5,"")</f>
        <v/>
      </c>
      <c r="BB5" s="16"/>
      <c r="BC5" s="2" t="str">
        <f t="shared" ref="BC5:BC17" si="33">IF(BB5&lt;&gt;"",BB5-$B$1,"")</f>
        <v/>
      </c>
      <c r="BD5" s="13" t="str">
        <f t="shared" ref="BD5:BD17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13</v>
      </c>
      <c r="B6" t="s">
        <v>14</v>
      </c>
      <c r="C6" s="16"/>
      <c r="D6" s="2" t="str">
        <f t="shared" si="0"/>
        <v/>
      </c>
      <c r="E6" s="13" t="str">
        <f t="shared" si="1"/>
        <v/>
      </c>
      <c r="F6" s="16"/>
      <c r="G6" s="2" t="str">
        <f t="shared" si="2"/>
        <v/>
      </c>
      <c r="H6" s="13" t="str">
        <f t="shared" si="3"/>
        <v/>
      </c>
      <c r="I6" s="16"/>
      <c r="J6" s="2" t="str">
        <f t="shared" si="4"/>
        <v/>
      </c>
      <c r="K6" s="13" t="str">
        <f t="shared" si="5"/>
        <v/>
      </c>
      <c r="L6" s="16"/>
      <c r="M6" s="2" t="str">
        <f t="shared" si="6"/>
        <v/>
      </c>
      <c r="N6" s="13" t="str">
        <f t="shared" si="7"/>
        <v/>
      </c>
      <c r="O6" s="16"/>
      <c r="P6" s="2" t="str">
        <f t="shared" si="8"/>
        <v/>
      </c>
      <c r="Q6" s="13" t="str">
        <f t="shared" si="9"/>
        <v/>
      </c>
      <c r="R6" s="16"/>
      <c r="S6" s="2" t="str">
        <f t="shared" si="10"/>
        <v/>
      </c>
      <c r="T6" s="13" t="str">
        <f t="shared" si="11"/>
        <v/>
      </c>
      <c r="U6" s="16"/>
      <c r="V6" s="2" t="str">
        <f t="shared" si="12"/>
        <v/>
      </c>
      <c r="W6" s="13" t="str">
        <f t="shared" si="13"/>
        <v/>
      </c>
      <c r="X6" s="16"/>
      <c r="Y6" s="2" t="str">
        <f t="shared" si="14"/>
        <v/>
      </c>
      <c r="Z6" s="13" t="str">
        <f t="shared" si="15"/>
        <v/>
      </c>
      <c r="AA6" s="16"/>
      <c r="AB6" s="2" t="str">
        <f t="shared" si="16"/>
        <v/>
      </c>
      <c r="AC6" s="13" t="str">
        <f t="shared" si="17"/>
        <v/>
      </c>
      <c r="AD6" s="16"/>
      <c r="AE6" s="2" t="str">
        <f t="shared" si="18"/>
        <v/>
      </c>
      <c r="AF6" s="13" t="str">
        <f t="shared" si="19"/>
        <v/>
      </c>
      <c r="AG6" s="16"/>
      <c r="AH6" s="2" t="str">
        <f t="shared" si="20"/>
        <v/>
      </c>
      <c r="AI6" s="13" t="str">
        <f t="shared" si="21"/>
        <v/>
      </c>
      <c r="AJ6" s="16"/>
      <c r="AK6" s="2" t="str">
        <f t="shared" si="22"/>
        <v/>
      </c>
      <c r="AL6" s="13" t="str">
        <f t="shared" si="23"/>
        <v/>
      </c>
      <c r="AM6" s="16"/>
      <c r="AN6" s="2" t="str">
        <f t="shared" si="24"/>
        <v/>
      </c>
      <c r="AO6" s="13" t="str">
        <f t="shared" si="25"/>
        <v/>
      </c>
      <c r="AP6" s="16"/>
      <c r="AQ6" s="2" t="str">
        <f t="shared" si="26"/>
        <v/>
      </c>
      <c r="AR6" s="13" t="str">
        <f>IF(AP6&lt;&gt;"",AO6+AQ6,"")</f>
        <v/>
      </c>
      <c r="AS6" s="16"/>
      <c r="AT6" s="2" t="str">
        <f t="shared" si="28"/>
        <v/>
      </c>
      <c r="AU6" s="13" t="str">
        <f t="shared" ref="AU6:AU15" si="35">IF(AS6&lt;&gt;"",AR6+AT6,"")</f>
        <v/>
      </c>
      <c r="AV6" s="16"/>
      <c r="AW6" s="2" t="str">
        <f t="shared" si="29"/>
        <v/>
      </c>
      <c r="AX6" s="13" t="str">
        <f t="shared" si="30"/>
        <v/>
      </c>
      <c r="AY6" s="16"/>
      <c r="AZ6" s="2" t="str">
        <f t="shared" si="31"/>
        <v/>
      </c>
      <c r="BA6" s="13" t="str">
        <f t="shared" si="32"/>
        <v/>
      </c>
      <c r="BB6" s="16"/>
      <c r="BC6" s="2" t="str">
        <f t="shared" si="33"/>
        <v/>
      </c>
      <c r="BD6" s="13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17</v>
      </c>
      <c r="B7" t="s">
        <v>18</v>
      </c>
      <c r="C7" s="16"/>
      <c r="D7" s="2" t="str">
        <f t="shared" si="0"/>
        <v/>
      </c>
      <c r="E7" s="13" t="str">
        <f t="shared" si="1"/>
        <v/>
      </c>
      <c r="F7" s="16"/>
      <c r="G7" s="2" t="str">
        <f t="shared" si="2"/>
        <v/>
      </c>
      <c r="H7" s="13" t="str">
        <f t="shared" si="3"/>
        <v/>
      </c>
      <c r="I7" s="16"/>
      <c r="J7" s="2" t="str">
        <f t="shared" si="4"/>
        <v/>
      </c>
      <c r="K7" s="13" t="str">
        <f t="shared" si="5"/>
        <v/>
      </c>
      <c r="L7" s="16"/>
      <c r="M7" s="2" t="str">
        <f t="shared" si="6"/>
        <v/>
      </c>
      <c r="N7" s="13" t="str">
        <f t="shared" si="7"/>
        <v/>
      </c>
      <c r="O7" s="16"/>
      <c r="P7" s="2" t="str">
        <f t="shared" si="8"/>
        <v/>
      </c>
      <c r="Q7" s="13" t="str">
        <f t="shared" si="9"/>
        <v/>
      </c>
      <c r="R7" s="16"/>
      <c r="S7" s="2" t="str">
        <f t="shared" si="10"/>
        <v/>
      </c>
      <c r="T7" s="13" t="str">
        <f t="shared" si="11"/>
        <v/>
      </c>
      <c r="U7" s="16"/>
      <c r="V7" s="2" t="str">
        <f t="shared" si="12"/>
        <v/>
      </c>
      <c r="W7" s="13" t="str">
        <f t="shared" si="13"/>
        <v/>
      </c>
      <c r="X7" s="16"/>
      <c r="Y7" s="2" t="str">
        <f t="shared" si="14"/>
        <v/>
      </c>
      <c r="Z7" s="13" t="str">
        <f t="shared" si="15"/>
        <v/>
      </c>
      <c r="AA7" s="16"/>
      <c r="AB7" s="2" t="str">
        <f t="shared" si="16"/>
        <v/>
      </c>
      <c r="AC7" s="13" t="str">
        <f t="shared" si="17"/>
        <v/>
      </c>
      <c r="AD7" s="16"/>
      <c r="AE7" s="2" t="str">
        <f>IF(AD7&lt;&gt;"",AD7-$B$1,"")</f>
        <v/>
      </c>
      <c r="AF7" s="13" t="str">
        <f>IF(AD7&lt;&gt;"",AC7+AE7,"")</f>
        <v/>
      </c>
      <c r="AG7" s="16"/>
      <c r="AH7" s="2" t="str">
        <f t="shared" si="20"/>
        <v/>
      </c>
      <c r="AI7" s="13" t="str">
        <f t="shared" si="21"/>
        <v/>
      </c>
      <c r="AJ7" s="16"/>
      <c r="AK7" s="2" t="str">
        <f t="shared" si="22"/>
        <v/>
      </c>
      <c r="AL7" s="13" t="str">
        <f t="shared" si="23"/>
        <v/>
      </c>
      <c r="AM7" s="16"/>
      <c r="AN7" s="2" t="str">
        <f t="shared" si="24"/>
        <v/>
      </c>
      <c r="AO7" s="13" t="str">
        <f t="shared" si="25"/>
        <v/>
      </c>
      <c r="AP7" s="16"/>
      <c r="AQ7" s="2" t="str">
        <f t="shared" si="26"/>
        <v/>
      </c>
      <c r="AR7" s="13" t="str">
        <f t="shared" si="27"/>
        <v/>
      </c>
      <c r="AS7" s="16"/>
      <c r="AT7" s="2" t="str">
        <f t="shared" si="28"/>
        <v/>
      </c>
      <c r="AU7" s="13" t="str">
        <f>IF(AS7&lt;&gt;"",AR7+AT7,"")</f>
        <v/>
      </c>
      <c r="AV7" s="16"/>
      <c r="AW7" s="2" t="str">
        <f t="shared" si="29"/>
        <v/>
      </c>
      <c r="AX7" s="13" t="str">
        <f t="shared" si="30"/>
        <v/>
      </c>
      <c r="AY7" s="16"/>
      <c r="AZ7" s="2" t="str">
        <f t="shared" si="31"/>
        <v/>
      </c>
      <c r="BA7" s="13" t="str">
        <f t="shared" si="32"/>
        <v/>
      </c>
      <c r="BB7" s="16"/>
      <c r="BC7" s="2" t="str">
        <f t="shared" si="33"/>
        <v/>
      </c>
      <c r="BD7" s="13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32</v>
      </c>
      <c r="B8" t="s">
        <v>33</v>
      </c>
      <c r="C8" s="16"/>
      <c r="D8" s="2" t="str">
        <f t="shared" si="0"/>
        <v/>
      </c>
      <c r="E8" s="13" t="str">
        <f t="shared" si="1"/>
        <v/>
      </c>
      <c r="F8" s="16"/>
      <c r="G8" s="2" t="str">
        <f t="shared" si="2"/>
        <v/>
      </c>
      <c r="H8" s="13" t="str">
        <f t="shared" si="3"/>
        <v/>
      </c>
      <c r="I8" s="16"/>
      <c r="J8" s="2" t="str">
        <f t="shared" si="4"/>
        <v/>
      </c>
      <c r="K8" s="13" t="str">
        <f t="shared" si="5"/>
        <v/>
      </c>
      <c r="L8" s="16"/>
      <c r="M8" s="2" t="str">
        <f t="shared" si="6"/>
        <v/>
      </c>
      <c r="N8" s="13" t="str">
        <f t="shared" si="7"/>
        <v/>
      </c>
      <c r="O8" s="16"/>
      <c r="P8" s="2" t="str">
        <f t="shared" si="8"/>
        <v/>
      </c>
      <c r="Q8" s="13" t="str">
        <f t="shared" si="9"/>
        <v/>
      </c>
      <c r="R8" s="16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35"/>
        <v/>
      </c>
      <c r="AV8" s="16"/>
      <c r="AW8" s="2" t="str">
        <f t="shared" si="29"/>
        <v/>
      </c>
      <c r="AX8" s="13" t="str">
        <f t="shared" si="30"/>
        <v/>
      </c>
      <c r="AY8" s="16"/>
      <c r="AZ8" s="2" t="str">
        <f t="shared" si="31"/>
        <v/>
      </c>
      <c r="BA8" s="13" t="str">
        <f t="shared" si="32"/>
        <v/>
      </c>
      <c r="BB8" s="16"/>
      <c r="BC8" s="2" t="str">
        <f t="shared" si="33"/>
        <v/>
      </c>
      <c r="BD8" s="13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25">
      <c r="A10" t="s">
        <v>15</v>
      </c>
      <c r="B10" t="s">
        <v>16</v>
      </c>
      <c r="C10" s="16"/>
      <c r="D10" s="2" t="str">
        <f t="shared" si="0"/>
        <v/>
      </c>
      <c r="E10" s="13" t="str">
        <f t="shared" si="1"/>
        <v/>
      </c>
      <c r="F10" s="16"/>
      <c r="G10" s="2" t="str">
        <f t="shared" si="2"/>
        <v/>
      </c>
      <c r="H10" s="13" t="str">
        <f t="shared" si="3"/>
        <v/>
      </c>
      <c r="I10" s="16"/>
      <c r="J10" s="2" t="str">
        <f t="shared" si="4"/>
        <v/>
      </c>
      <c r="K10" s="13" t="str">
        <f t="shared" si="5"/>
        <v/>
      </c>
      <c r="L10" s="16"/>
      <c r="M10" s="2" t="str">
        <f t="shared" si="6"/>
        <v/>
      </c>
      <c r="N10" s="13" t="str">
        <f t="shared" si="7"/>
        <v/>
      </c>
      <c r="O10" s="16"/>
      <c r="P10" s="2" t="str">
        <f t="shared" si="8"/>
        <v/>
      </c>
      <c r="Q10" s="13" t="str">
        <f t="shared" si="9"/>
        <v/>
      </c>
      <c r="R10" s="16"/>
      <c r="S10" s="2" t="str">
        <f t="shared" si="10"/>
        <v/>
      </c>
      <c r="T10" s="13" t="str">
        <f t="shared" si="11"/>
        <v/>
      </c>
      <c r="U10" s="16"/>
      <c r="V10" s="2" t="str">
        <f t="shared" si="12"/>
        <v/>
      </c>
      <c r="W10" s="13" t="str">
        <f t="shared" si="13"/>
        <v/>
      </c>
      <c r="X10" s="16"/>
      <c r="Y10" s="2" t="str">
        <f t="shared" si="14"/>
        <v/>
      </c>
      <c r="Z10" s="13" t="str">
        <f t="shared" si="15"/>
        <v/>
      </c>
      <c r="AA10" s="16"/>
      <c r="AB10" s="2" t="str">
        <f t="shared" si="16"/>
        <v/>
      </c>
      <c r="AC10" s="13" t="str">
        <f t="shared" si="17"/>
        <v/>
      </c>
      <c r="AD10" s="16"/>
      <c r="AE10" s="2" t="str">
        <f t="shared" si="18"/>
        <v/>
      </c>
      <c r="AF10" s="13" t="str">
        <f t="shared" si="19"/>
        <v/>
      </c>
      <c r="AG10" s="16"/>
      <c r="AH10" s="2" t="str">
        <f t="shared" si="20"/>
        <v/>
      </c>
      <c r="AI10" s="13" t="str">
        <f t="shared" si="21"/>
        <v/>
      </c>
      <c r="AJ10" s="16"/>
      <c r="AK10" s="2" t="str">
        <f t="shared" si="22"/>
        <v/>
      </c>
      <c r="AL10" s="13" t="str">
        <f t="shared" si="23"/>
        <v/>
      </c>
      <c r="AM10" s="16"/>
      <c r="AN10" s="2" t="str">
        <f t="shared" si="24"/>
        <v/>
      </c>
      <c r="AO10" s="13" t="str">
        <f t="shared" si="25"/>
        <v/>
      </c>
      <c r="AP10" s="16"/>
      <c r="AQ10" s="2" t="str">
        <f t="shared" si="26"/>
        <v/>
      </c>
      <c r="AR10" s="13" t="str">
        <f>IF(AP10&lt;&gt;"",AO10+AQ10,"")</f>
        <v/>
      </c>
      <c r="AS10" s="16"/>
      <c r="AT10" s="2" t="str">
        <f t="shared" si="28"/>
        <v/>
      </c>
      <c r="AU10" s="13" t="str">
        <f t="shared" si="35"/>
        <v/>
      </c>
      <c r="AV10" s="16"/>
      <c r="AW10" s="2" t="str">
        <f t="shared" si="29"/>
        <v/>
      </c>
      <c r="AX10" s="13" t="str">
        <f t="shared" si="30"/>
        <v/>
      </c>
      <c r="AY10" s="16"/>
      <c r="AZ10" s="2" t="str">
        <f t="shared" si="31"/>
        <v/>
      </c>
      <c r="BA10" s="13" t="str">
        <f t="shared" si="32"/>
        <v/>
      </c>
      <c r="BB10" s="16"/>
      <c r="BC10" s="2" t="str">
        <f t="shared" si="33"/>
        <v/>
      </c>
      <c r="BD10" s="13" t="str">
        <f t="shared" si="34"/>
        <v/>
      </c>
      <c r="BF10" t="s">
        <v>15</v>
      </c>
      <c r="BG10" t="s">
        <v>16</v>
      </c>
      <c r="BH10" s="42"/>
      <c r="BI10">
        <v>7</v>
      </c>
      <c r="BJ10" s="37"/>
      <c r="BK10" s="37"/>
      <c r="BL10" s="41"/>
      <c r="BR10" s="40"/>
    </row>
    <row r="11" spans="1:70" x14ac:dyDescent="0.25">
      <c r="A11" t="s">
        <v>29</v>
      </c>
      <c r="B11" t="s">
        <v>30</v>
      </c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F11" t="s">
        <v>29</v>
      </c>
      <c r="BG11" t="s">
        <v>30</v>
      </c>
      <c r="BH11" s="42"/>
      <c r="BI11">
        <v>8</v>
      </c>
      <c r="BJ11" s="37"/>
      <c r="BK11" s="37"/>
      <c r="BL11" s="41"/>
      <c r="BR11" s="40"/>
    </row>
    <row r="12" spans="1:70" x14ac:dyDescent="0.25">
      <c r="A12" t="s">
        <v>36</v>
      </c>
      <c r="B12" t="s">
        <v>37</v>
      </c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F12" t="s">
        <v>36</v>
      </c>
      <c r="BG12" t="s">
        <v>37</v>
      </c>
      <c r="BH12" s="42"/>
      <c r="BI12">
        <v>9</v>
      </c>
      <c r="BJ12" s="37"/>
      <c r="BK12" s="37"/>
      <c r="BL12" s="41"/>
      <c r="BR12" s="40"/>
    </row>
    <row r="13" spans="1:70" x14ac:dyDescent="0.25">
      <c r="A13" t="s">
        <v>19</v>
      </c>
      <c r="B13" t="s">
        <v>20</v>
      </c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F13" t="s">
        <v>19</v>
      </c>
      <c r="BG13" t="s">
        <v>20</v>
      </c>
      <c r="BH13" s="42"/>
      <c r="BI13">
        <v>10</v>
      </c>
      <c r="BJ13" s="37"/>
      <c r="BK13" s="37"/>
      <c r="BL13" s="41"/>
      <c r="BR13" s="40"/>
    </row>
    <row r="14" spans="1:70" x14ac:dyDescent="0.2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I14">
        <v>11</v>
      </c>
      <c r="BJ14" s="37"/>
      <c r="BK14" s="37"/>
      <c r="BL14" s="41"/>
      <c r="BR14" s="40"/>
    </row>
    <row r="15" spans="1:70" x14ac:dyDescent="0.25">
      <c r="A15" t="s">
        <v>21</v>
      </c>
      <c r="B15" t="s">
        <v>22</v>
      </c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F15" t="s">
        <v>21</v>
      </c>
      <c r="BG15" t="s">
        <v>22</v>
      </c>
      <c r="BH15" s="42"/>
      <c r="BJ15" s="37"/>
      <c r="BK15" s="37"/>
      <c r="BL15" s="41" t="s">
        <v>28</v>
      </c>
      <c r="BR15" s="40"/>
    </row>
    <row r="16" spans="1:70" x14ac:dyDescent="0.25">
      <c r="A16" t="s">
        <v>21</v>
      </c>
      <c r="B16" t="s">
        <v>31</v>
      </c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F16" t="s">
        <v>21</v>
      </c>
      <c r="BG16" t="s">
        <v>31</v>
      </c>
      <c r="BH16" s="42"/>
      <c r="BJ16" s="37"/>
      <c r="BK16" s="37"/>
      <c r="BL16" s="41" t="s">
        <v>28</v>
      </c>
      <c r="BR16" s="40"/>
    </row>
    <row r="17" spans="1:70" x14ac:dyDescent="0.25">
      <c r="A17" t="s">
        <v>23</v>
      </c>
      <c r="B17" t="s">
        <v>24</v>
      </c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F17" t="s">
        <v>23</v>
      </c>
      <c r="BG17" t="s">
        <v>24</v>
      </c>
      <c r="BH17" s="42"/>
      <c r="BJ17" s="37"/>
      <c r="BK17" s="37"/>
      <c r="BL17" s="41" t="s">
        <v>28</v>
      </c>
      <c r="BR17" s="40"/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 t="str">
        <f>IF(COUNT(C4:C19)&gt;0,AVERAGE(C4:C19),"")</f>
        <v/>
      </c>
      <c r="D21" s="3"/>
      <c r="E21" s="3"/>
      <c r="F21" s="3" t="str">
        <f>IF(COUNT(F4:F19)&gt;0,AVERAGE(F4:F19),"")</f>
        <v/>
      </c>
      <c r="G21" s="3"/>
      <c r="H21" s="3"/>
      <c r="I21" s="3" t="str">
        <f>IF(COUNT(I4:I19)&gt;0,AVERAGE(I4:I19),"")</f>
        <v/>
      </c>
      <c r="J21" s="3"/>
      <c r="K21" s="3"/>
      <c r="L21" s="3" t="str">
        <f>IF(COUNT(L4:L19)&gt;0,AVERAGE(L4:L19),"")</f>
        <v/>
      </c>
      <c r="M21" s="3"/>
      <c r="N21" s="3"/>
      <c r="O21" s="3" t="str">
        <f>IF(COUNT(O4:O19)&gt;0,AVERAGE(O4:O19),"")</f>
        <v/>
      </c>
      <c r="P21" s="3"/>
      <c r="Q21" s="3"/>
      <c r="R21" s="3" t="str">
        <f>IF(COUNT(R4:R19)&gt;0,AVERAGE(R4:R19),"")</f>
        <v/>
      </c>
      <c r="S21" s="3"/>
      <c r="T21" s="3"/>
      <c r="U21" s="3" t="str">
        <f>IF(COUNT(U4:U19)&gt;0,AVERAGE(U4:U19),"")</f>
        <v/>
      </c>
      <c r="V21" s="3"/>
      <c r="W21" s="3"/>
      <c r="X21" s="3" t="str">
        <f>IF(COUNT(X4:X19)&gt;0,AVERAGE(X4:X19),"")</f>
        <v/>
      </c>
      <c r="Y21" s="3"/>
      <c r="Z21" s="3"/>
      <c r="AA21" s="3" t="str">
        <f>IF(COUNT(AA4:AA19)&gt;0,AVERAGE(AA4:AA19),"")</f>
        <v/>
      </c>
      <c r="AB21" s="3"/>
      <c r="AC21" s="3"/>
      <c r="AD21" s="3" t="str">
        <f>IF(COUNT(AD4:AD19)&gt;0,AVERAGE(AD4:AD19),"")</f>
        <v/>
      </c>
      <c r="AE21" s="3"/>
      <c r="AF21" s="3"/>
      <c r="AG21" s="3" t="str">
        <f>IF(COUNT(AG4:AG19)&gt;0,AVERAGE(AG4:AG19),"")</f>
        <v/>
      </c>
      <c r="AH21" s="3"/>
      <c r="AI21" s="3"/>
      <c r="AJ21" s="3" t="str">
        <f>IF(COUNT(AJ4:AJ19)&gt;0,AVERAGE(AJ4:AJ19),"")</f>
        <v/>
      </c>
      <c r="AK21" s="3"/>
      <c r="AL21" s="3"/>
      <c r="AM21" s="3" t="str">
        <f>IF(COUNT(AM4:AM19)&gt;0,AVERAGE(AM4:AM19),"")</f>
        <v/>
      </c>
      <c r="AN21" s="18"/>
      <c r="AO21" s="18"/>
      <c r="AP21" s="3" t="str">
        <f>IF(COUNT(AP4:AP19)&gt;0,AVERAGE(AP4:AP19),"")</f>
        <v/>
      </c>
      <c r="AQ21" s="18"/>
      <c r="AR21" s="18"/>
      <c r="AS21" s="3" t="str">
        <f>IF(COUNT(AS4:AS19)&gt;0,AVERAGE(AS4:AS19),"")</f>
        <v/>
      </c>
      <c r="AT21" s="18"/>
      <c r="AU21" s="18"/>
      <c r="AV21" s="3" t="str">
        <f>IF(COUNT(AV4:AV19)&gt;0,AVERAGE(AV4:AV19),"")</f>
        <v/>
      </c>
      <c r="AW21" s="18"/>
      <c r="AX21" s="18"/>
      <c r="AY21" s="3" t="str">
        <f>IF(COUNT(AY4:AY19)&gt;0,AVERAGE(AY4:AY19),"")</f>
        <v/>
      </c>
      <c r="AZ21" s="18"/>
      <c r="BA21" s="18"/>
      <c r="BB21" s="3" t="str">
        <f>IF(COUNT(BB4:BB19)&gt;0,AVERAGE(BB4:BB19),"")</f>
        <v/>
      </c>
      <c r="BC21" s="18"/>
      <c r="BD21" s="18"/>
    </row>
    <row r="23" spans="1:70" x14ac:dyDescent="0.25">
      <c r="C23" s="6">
        <v>7.0000999999999998</v>
      </c>
      <c r="D23" s="7" t="s">
        <v>26</v>
      </c>
    </row>
    <row r="24" spans="1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25">
      <c r="C25" s="2"/>
      <c r="D25" s="7"/>
      <c r="F25" s="2"/>
      <c r="AA25" s="8">
        <v>6.9999000000000002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Round 19</vt:lpstr>
      <vt:lpstr>Round 18</vt:lpstr>
      <vt:lpstr>Round 17</vt:lpstr>
      <vt:lpstr>Round 16</vt:lpstr>
      <vt:lpstr>Round 15</vt:lpstr>
      <vt:lpstr>Round 14</vt:lpstr>
      <vt:lpstr>Round 13</vt:lpstr>
      <vt:lpstr>Round 12</vt:lpstr>
      <vt:lpstr>Round 11</vt:lpstr>
      <vt:lpstr>Round 10</vt:lpstr>
      <vt:lpstr>Round 9</vt:lpstr>
      <vt:lpstr>Round 8</vt:lpstr>
      <vt:lpstr>Round 7</vt:lpstr>
      <vt:lpstr>Round 6</vt:lpstr>
      <vt:lpstr>Round 5</vt:lpstr>
      <vt:lpstr>Round 4</vt:lpstr>
      <vt:lpstr>Round 3</vt:lpstr>
      <vt:lpstr>Round 2</vt:lpstr>
      <vt:lpstr>Round 1</vt:lpstr>
      <vt:lpstr>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Sleigh</dc:creator>
  <cp:keywords/>
  <dc:description/>
  <cp:lastModifiedBy>Andrew Sleigh</cp:lastModifiedBy>
  <cp:revision/>
  <dcterms:created xsi:type="dcterms:W3CDTF">2022-09-05T08:59:38Z</dcterms:created>
  <dcterms:modified xsi:type="dcterms:W3CDTF">2023-12-08T11:28:46Z</dcterms:modified>
  <cp:category/>
  <cp:contentStatus/>
</cp:coreProperties>
</file>